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387a1e6e41fa80/Desktop/DS440/DS440/backend/"/>
    </mc:Choice>
  </mc:AlternateContent>
  <xr:revisionPtr revIDLastSave="10" documentId="8_{10D51C04-1196-46FA-B41F-EBCCEE4D74AC}" xr6:coauthVersionLast="47" xr6:coauthVersionMax="47" xr10:uidLastSave="{ED7F8C76-FDC5-4DA7-96CF-04305E812A3F}"/>
  <bookViews>
    <workbookView xWindow="3591" yWindow="291" windowWidth="21883" windowHeight="15378" xr2:uid="{00000000-000D-0000-FFFF-FFFF00000000}"/>
  </bookViews>
  <sheets>
    <sheet name="Nutrition" sheetId="14" r:id="rId1"/>
    <sheet name="Master" sheetId="2" r:id="rId2"/>
    <sheet name="Wegmans (F)" sheetId="3" r:id="rId3"/>
    <sheet name="Trader Joes (F)" sheetId="4" r:id="rId4"/>
    <sheet name="Mclanahans (N)" sheetId="6" r:id="rId5"/>
    <sheet name="Weis (N)" sheetId="7" r:id="rId6"/>
    <sheet name="Target D (T)" sheetId="8" r:id="rId7"/>
    <sheet name="Giant (T)" sheetId="9" r:id="rId8"/>
    <sheet name="Sams Club (N)" sheetId="10" r:id="rId9"/>
    <sheet name="Target Up (N)" sheetId="11" r:id="rId10"/>
    <sheet name="Aldi (L)" sheetId="12" r:id="rId11"/>
    <sheet name="Walmart (L)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2" l="1"/>
  <c r="J25" i="2" a="1"/>
  <c r="J25" i="2"/>
  <c r="I25" i="2"/>
  <c r="H25" i="2"/>
  <c r="E117" i="11"/>
  <c r="E116" i="11"/>
  <c r="E115" i="11"/>
  <c r="E112" i="11"/>
  <c r="E111" i="11"/>
  <c r="E110" i="11"/>
  <c r="E109" i="11"/>
  <c r="E101" i="11"/>
  <c r="E113" i="11"/>
  <c r="E99" i="11"/>
  <c r="C100" i="11"/>
  <c r="E82" i="11"/>
  <c r="E81" i="11"/>
  <c r="E78" i="11"/>
  <c r="E77" i="11"/>
  <c r="E76" i="11"/>
  <c r="E72" i="11"/>
  <c r="E74" i="11"/>
  <c r="E79" i="11"/>
  <c r="E80" i="11"/>
  <c r="E119" i="11"/>
  <c r="E114" i="11"/>
  <c r="E98" i="11"/>
  <c r="E103" i="11"/>
  <c r="E104" i="11"/>
  <c r="E102" i="11"/>
  <c r="E89" i="11"/>
  <c r="E88" i="11"/>
  <c r="E90" i="11"/>
  <c r="E91" i="11"/>
  <c r="E93" i="11"/>
  <c r="E92" i="11"/>
  <c r="E66" i="11"/>
  <c r="E65" i="11"/>
  <c r="E64" i="11"/>
  <c r="E62" i="11"/>
  <c r="E63" i="11"/>
  <c r="E57" i="11"/>
  <c r="E56" i="11"/>
  <c r="E55" i="11"/>
  <c r="E54" i="11"/>
  <c r="E53" i="11"/>
  <c r="E52" i="11"/>
  <c r="E51" i="11"/>
  <c r="E50" i="11"/>
  <c r="E45" i="11"/>
  <c r="E44" i="11"/>
  <c r="C43" i="11"/>
  <c r="E43" i="11"/>
  <c r="E42" i="11"/>
  <c r="E31" i="11"/>
  <c r="E30" i="11"/>
  <c r="E27" i="11"/>
  <c r="E26" i="11"/>
  <c r="E20" i="11"/>
  <c r="E19" i="11"/>
  <c r="E18" i="11"/>
  <c r="E17" i="11"/>
  <c r="E16" i="11"/>
  <c r="E15" i="11"/>
  <c r="E10" i="11"/>
  <c r="E9" i="11"/>
  <c r="E8" i="11"/>
  <c r="E7" i="11"/>
  <c r="E119" i="10"/>
  <c r="E118" i="10"/>
  <c r="E117" i="10"/>
  <c r="E116" i="10"/>
  <c r="E113" i="10"/>
  <c r="E114" i="10"/>
  <c r="E115" i="10"/>
  <c r="E112" i="10"/>
  <c r="E111" i="10"/>
  <c r="E110" i="10"/>
  <c r="E109" i="10"/>
  <c r="E101" i="10"/>
  <c r="E100" i="10"/>
  <c r="E103" i="10"/>
  <c r="E104" i="10"/>
  <c r="E102" i="10"/>
  <c r="E99" i="10"/>
  <c r="E98" i="10"/>
  <c r="E88" i="10"/>
  <c r="E89" i="10"/>
  <c r="E91" i="10"/>
  <c r="E90" i="10"/>
  <c r="E92" i="10"/>
  <c r="E93" i="10"/>
  <c r="E73" i="10"/>
  <c r="E72" i="10"/>
  <c r="E71" i="10"/>
  <c r="E82" i="10"/>
  <c r="E81" i="10"/>
  <c r="E78" i="10"/>
  <c r="E77" i="10"/>
  <c r="E76" i="10"/>
  <c r="E80" i="10"/>
  <c r="E74" i="10"/>
  <c r="E79" i="10"/>
  <c r="E65" i="10"/>
  <c r="E64" i="10"/>
  <c r="E62" i="10"/>
  <c r="E57" i="10"/>
  <c r="E56" i="10"/>
  <c r="E54" i="10"/>
  <c r="E53" i="10"/>
  <c r="E52" i="10"/>
  <c r="E51" i="10"/>
  <c r="E50" i="10"/>
  <c r="E45" i="10"/>
  <c r="E44" i="10"/>
  <c r="E43" i="10"/>
  <c r="E42" i="10"/>
  <c r="E41" i="10"/>
  <c r="E40" i="10"/>
  <c r="E39" i="10"/>
  <c r="E38" i="10"/>
  <c r="E31" i="10"/>
  <c r="E30" i="10"/>
  <c r="E29" i="10"/>
  <c r="E28" i="10"/>
  <c r="E27" i="10"/>
  <c r="E25" i="10"/>
  <c r="E26" i="10"/>
  <c r="E5" i="10"/>
  <c r="E4" i="10"/>
  <c r="E117" i="13"/>
  <c r="E116" i="13"/>
  <c r="E115" i="13"/>
  <c r="E114" i="13"/>
  <c r="E113" i="13"/>
  <c r="E112" i="13"/>
  <c r="E111" i="13"/>
  <c r="E110" i="13"/>
  <c r="E109" i="13"/>
  <c r="E104" i="13"/>
  <c r="E103" i="13"/>
  <c r="E102" i="13"/>
  <c r="E101" i="13"/>
  <c r="E99" i="13"/>
  <c r="E98" i="13"/>
  <c r="E100" i="13"/>
  <c r="E89" i="13"/>
  <c r="E93" i="13"/>
  <c r="E91" i="13"/>
  <c r="E90" i="13"/>
  <c r="E88" i="13"/>
  <c r="E82" i="13"/>
  <c r="E81" i="13"/>
  <c r="E80" i="13"/>
  <c r="E78" i="13"/>
  <c r="E77" i="13"/>
  <c r="E76" i="13"/>
  <c r="E74" i="13"/>
  <c r="E66" i="13"/>
  <c r="E65" i="13"/>
  <c r="E64" i="13"/>
  <c r="E63" i="13"/>
  <c r="C63" i="13"/>
  <c r="E62" i="13"/>
  <c r="E57" i="13"/>
  <c r="E56" i="13"/>
  <c r="E55" i="13"/>
  <c r="E52" i="13"/>
  <c r="E51" i="13"/>
  <c r="E50" i="13"/>
  <c r="E44" i="13"/>
  <c r="E20" i="10"/>
  <c r="E19" i="10"/>
  <c r="E31" i="13"/>
  <c r="E17" i="10"/>
  <c r="E27" i="13"/>
  <c r="C27" i="13"/>
  <c r="E16" i="10"/>
  <c r="E15" i="10"/>
  <c r="E26" i="13"/>
  <c r="E10" i="10"/>
  <c r="E20" i="13"/>
  <c r="E9" i="10"/>
  <c r="E19" i="13"/>
  <c r="E8" i="10"/>
  <c r="E8" i="9"/>
  <c r="E18" i="13"/>
  <c r="E17" i="13"/>
  <c r="E16" i="13"/>
  <c r="E7" i="10"/>
  <c r="E7" i="9"/>
  <c r="E15" i="13"/>
  <c r="E10" i="13"/>
  <c r="E6" i="10"/>
  <c r="E9" i="13"/>
  <c r="E16" i="9"/>
  <c r="E7" i="13"/>
  <c r="F120" i="2"/>
  <c r="E117" i="8"/>
  <c r="E116" i="8"/>
  <c r="E115" i="8"/>
  <c r="I4" i="2"/>
  <c r="H4" i="2"/>
  <c r="E112" i="8"/>
  <c r="E113" i="8"/>
  <c r="E111" i="8"/>
  <c r="E110" i="8"/>
  <c r="E109" i="8"/>
  <c r="E92" i="12"/>
  <c r="C92" i="12"/>
  <c r="E119" i="12"/>
  <c r="C119" i="12"/>
  <c r="E42" i="12"/>
  <c r="C42" i="12"/>
  <c r="E30" i="12"/>
  <c r="C30" i="12"/>
  <c r="E8" i="12"/>
  <c r="C8" i="12"/>
  <c r="E45" i="12"/>
  <c r="E44" i="9"/>
  <c r="E43" i="9"/>
  <c r="E43" i="8"/>
  <c r="E44" i="8"/>
  <c r="E88" i="12"/>
  <c r="E72" i="12"/>
  <c r="E37" i="12"/>
  <c r="E117" i="12"/>
  <c r="E116" i="12"/>
  <c r="E115" i="12"/>
  <c r="E114" i="12"/>
  <c r="E113" i="12"/>
  <c r="E112" i="12"/>
  <c r="E111" i="12"/>
  <c r="E110" i="12"/>
  <c r="E109" i="12"/>
  <c r="E104" i="12"/>
  <c r="E103" i="12"/>
  <c r="E102" i="12"/>
  <c r="E101" i="12"/>
  <c r="E100" i="12"/>
  <c r="E99" i="12"/>
  <c r="E98" i="12"/>
  <c r="E93" i="12"/>
  <c r="E91" i="12"/>
  <c r="E90" i="12"/>
  <c r="E89" i="12"/>
  <c r="E82" i="12"/>
  <c r="E81" i="12"/>
  <c r="E80" i="12"/>
  <c r="E78" i="12"/>
  <c r="E77" i="12"/>
  <c r="E76" i="12"/>
  <c r="E74" i="12"/>
  <c r="E73" i="12"/>
  <c r="E31" i="12"/>
  <c r="E66" i="12"/>
  <c r="E65" i="12"/>
  <c r="E64" i="12"/>
  <c r="C63" i="12"/>
  <c r="E63" i="12"/>
  <c r="E62" i="12"/>
  <c r="E57" i="12"/>
  <c r="E100" i="8"/>
  <c r="E56" i="12"/>
  <c r="H100" i="8"/>
  <c r="E99" i="8"/>
  <c r="E53" i="12"/>
  <c r="E98" i="8"/>
  <c r="E89" i="8"/>
  <c r="E81" i="8"/>
  <c r="E52" i="12"/>
  <c r="E82" i="8"/>
  <c r="E78" i="8"/>
  <c r="E51" i="12"/>
  <c r="E77" i="8"/>
  <c r="E76" i="8"/>
  <c r="E66" i="8"/>
  <c r="E114" i="8"/>
  <c r="E62" i="8"/>
  <c r="E50" i="12"/>
  <c r="E57" i="8"/>
  <c r="E52" i="8"/>
  <c r="E53" i="8"/>
  <c r="E44" i="12"/>
  <c r="E51" i="8"/>
  <c r="E50" i="8"/>
  <c r="E55" i="8"/>
  <c r="E43" i="12"/>
  <c r="D43" i="12"/>
  <c r="C43" i="12"/>
  <c r="E102" i="8"/>
  <c r="E90" i="8"/>
  <c r="E56" i="8"/>
  <c r="E64" i="8"/>
  <c r="E26" i="12"/>
  <c r="E101" i="8"/>
  <c r="E29" i="8"/>
  <c r="E103" i="8"/>
  <c r="E20" i="12"/>
  <c r="E80" i="8"/>
  <c r="E63" i="8"/>
  <c r="E27" i="8"/>
  <c r="E19" i="12"/>
  <c r="E26" i="8"/>
  <c r="E32" i="13"/>
  <c r="C32" i="13"/>
  <c r="E32" i="12"/>
  <c r="C32" i="12"/>
  <c r="E32" i="11"/>
  <c r="C32" i="11"/>
  <c r="E32" i="10"/>
  <c r="C32" i="10"/>
  <c r="E32" i="7"/>
  <c r="C32" i="7"/>
  <c r="E18" i="12"/>
  <c r="C32" i="6"/>
  <c r="E32" i="6"/>
  <c r="C32" i="4"/>
  <c r="E32" i="4"/>
  <c r="C32" i="3"/>
  <c r="E32" i="3"/>
  <c r="E17" i="12"/>
  <c r="E20" i="8"/>
  <c r="E20" i="9"/>
  <c r="E19" i="8"/>
  <c r="E91" i="8"/>
  <c r="E16" i="12"/>
  <c r="E17" i="8"/>
  <c r="E16" i="8"/>
  <c r="F7" i="2"/>
  <c r="F4" i="2"/>
  <c r="E15" i="12"/>
  <c r="G5" i="2"/>
  <c r="E4" i="2"/>
  <c r="F6" i="2"/>
  <c r="E10" i="12"/>
  <c r="E9" i="12"/>
  <c r="E7" i="12"/>
  <c r="E57" i="2"/>
  <c r="G57" i="2"/>
  <c r="G50" i="2"/>
  <c r="E9" i="8"/>
  <c r="E120" i="4"/>
  <c r="C120" i="4"/>
  <c r="E105" i="4"/>
  <c r="C105" i="4"/>
  <c r="E94" i="4"/>
  <c r="C94" i="4"/>
  <c r="E83" i="4"/>
  <c r="C83" i="4"/>
  <c r="E67" i="4"/>
  <c r="C67" i="4"/>
  <c r="E58" i="4"/>
  <c r="C58" i="4"/>
  <c r="E46" i="4"/>
  <c r="C46" i="4"/>
  <c r="E21" i="4"/>
  <c r="C21" i="4"/>
  <c r="E11" i="4"/>
  <c r="D11" i="2"/>
  <c r="C11" i="4"/>
  <c r="E120" i="3"/>
  <c r="C120" i="3"/>
  <c r="E105" i="3"/>
  <c r="C105" i="3"/>
  <c r="E94" i="3"/>
  <c r="C94" i="3"/>
  <c r="E83" i="3"/>
  <c r="C83" i="3"/>
  <c r="E67" i="3"/>
  <c r="C67" i="3"/>
  <c r="E58" i="3"/>
  <c r="C58" i="3"/>
  <c r="E46" i="3"/>
  <c r="C46" i="3"/>
  <c r="E21" i="3"/>
  <c r="C21" i="3"/>
  <c r="E11" i="3"/>
  <c r="C11" i="2" s="1"/>
  <c r="C11" i="3"/>
  <c r="C7" i="2"/>
  <c r="K119" i="2"/>
  <c r="H120" i="2"/>
  <c r="E120" i="2"/>
  <c r="D120" i="2"/>
  <c r="C120" i="2"/>
  <c r="L110" i="2"/>
  <c r="L111" i="2"/>
  <c r="L112" i="2"/>
  <c r="L113" i="2"/>
  <c r="L114" i="2"/>
  <c r="L115" i="2"/>
  <c r="L116" i="2"/>
  <c r="L117" i="2"/>
  <c r="L118" i="2"/>
  <c r="L119" i="2"/>
  <c r="L109" i="2"/>
  <c r="L99" i="2"/>
  <c r="L100" i="2"/>
  <c r="L101" i="2"/>
  <c r="L102" i="2"/>
  <c r="L103" i="2"/>
  <c r="L104" i="2"/>
  <c r="L98" i="2"/>
  <c r="L93" i="2"/>
  <c r="L92" i="2"/>
  <c r="L91" i="2"/>
  <c r="L90" i="2"/>
  <c r="L89" i="2"/>
  <c r="L88" i="2"/>
  <c r="L87" i="2"/>
  <c r="L72" i="2"/>
  <c r="L73" i="2"/>
  <c r="L74" i="2"/>
  <c r="L75" i="2"/>
  <c r="L76" i="2"/>
  <c r="L77" i="2"/>
  <c r="L78" i="2"/>
  <c r="L79" i="2"/>
  <c r="L80" i="2"/>
  <c r="L81" i="2"/>
  <c r="L82" i="2"/>
  <c r="L71" i="2"/>
  <c r="L63" i="2"/>
  <c r="L64" i="2"/>
  <c r="L65" i="2"/>
  <c r="L66" i="2"/>
  <c r="L62" i="2"/>
  <c r="L51" i="2"/>
  <c r="L52" i="2"/>
  <c r="L53" i="2"/>
  <c r="L54" i="2"/>
  <c r="L55" i="2"/>
  <c r="L56" i="2"/>
  <c r="L57" i="2"/>
  <c r="L50" i="2"/>
  <c r="L37" i="2"/>
  <c r="L38" i="2"/>
  <c r="L39" i="2"/>
  <c r="L40" i="2"/>
  <c r="L41" i="2"/>
  <c r="L42" i="2"/>
  <c r="L43" i="2"/>
  <c r="L44" i="2"/>
  <c r="L45" i="2"/>
  <c r="L36" i="2"/>
  <c r="L26" i="2"/>
  <c r="L27" i="2"/>
  <c r="L28" i="2"/>
  <c r="L29" i="2"/>
  <c r="L30" i="2"/>
  <c r="L31" i="2"/>
  <c r="L32" i="2"/>
  <c r="L25" i="2"/>
  <c r="L16" i="2"/>
  <c r="L17" i="2"/>
  <c r="L18" i="2"/>
  <c r="L19" i="2"/>
  <c r="L20" i="2"/>
  <c r="L15" i="2"/>
  <c r="L5" i="2"/>
  <c r="L6" i="2"/>
  <c r="L7" i="2"/>
  <c r="L8" i="2"/>
  <c r="L9" i="2"/>
  <c r="L10" i="2"/>
  <c r="L4" i="2"/>
  <c r="E120" i="13"/>
  <c r="L120" i="2" s="1"/>
  <c r="C120" i="13"/>
  <c r="E105" i="13"/>
  <c r="L105" i="2" s="1"/>
  <c r="C105" i="13"/>
  <c r="E94" i="13"/>
  <c r="L94" i="2" s="1"/>
  <c r="C94" i="13"/>
  <c r="E83" i="13"/>
  <c r="L83" i="2" s="1"/>
  <c r="C83" i="13"/>
  <c r="E67" i="13"/>
  <c r="L67" i="2" s="1"/>
  <c r="C67" i="13"/>
  <c r="E58" i="13"/>
  <c r="L58" i="2" s="1"/>
  <c r="C58" i="13"/>
  <c r="E46" i="13"/>
  <c r="L46" i="2"/>
  <c r="C46" i="13"/>
  <c r="E21" i="13"/>
  <c r="L21" i="2"/>
  <c r="C21" i="13"/>
  <c r="E11" i="13"/>
  <c r="L11" i="2"/>
  <c r="C11" i="13"/>
  <c r="E120" i="12"/>
  <c r="K120" i="2"/>
  <c r="C120" i="12"/>
  <c r="E105" i="12"/>
  <c r="C105" i="12"/>
  <c r="E94" i="12"/>
  <c r="C94" i="12"/>
  <c r="E83" i="12"/>
  <c r="C83" i="12"/>
  <c r="E67" i="12"/>
  <c r="C67" i="12"/>
  <c r="E58" i="12"/>
  <c r="C58" i="12"/>
  <c r="E46" i="12"/>
  <c r="C46" i="12"/>
  <c r="E21" i="12"/>
  <c r="C21" i="12"/>
  <c r="E11" i="12"/>
  <c r="C11" i="12"/>
  <c r="E120" i="11"/>
  <c r="J120" i="2" s="1"/>
  <c r="C120" i="11"/>
  <c r="E105" i="11"/>
  <c r="C105" i="11"/>
  <c r="E94" i="11"/>
  <c r="C94" i="11"/>
  <c r="E83" i="11"/>
  <c r="C83" i="11"/>
  <c r="E67" i="11"/>
  <c r="C67" i="11"/>
  <c r="E58" i="11"/>
  <c r="C58" i="11"/>
  <c r="E46" i="11"/>
  <c r="C46" i="11"/>
  <c r="E21" i="11"/>
  <c r="C21" i="11"/>
  <c r="E11" i="11"/>
  <c r="C11" i="11"/>
  <c r="E120" i="10"/>
  <c r="I120" i="2" s="1"/>
  <c r="C120" i="10"/>
  <c r="E105" i="10"/>
  <c r="C105" i="10"/>
  <c r="E94" i="10"/>
  <c r="C94" i="10"/>
  <c r="E83" i="10"/>
  <c r="C83" i="10"/>
  <c r="E67" i="10"/>
  <c r="C67" i="10"/>
  <c r="E58" i="10"/>
  <c r="C58" i="10"/>
  <c r="E46" i="10"/>
  <c r="C46" i="10"/>
  <c r="E21" i="10"/>
  <c r="C21" i="10"/>
  <c r="E11" i="10"/>
  <c r="C11" i="10"/>
  <c r="E120" i="6"/>
  <c r="C120" i="6"/>
  <c r="E105" i="6"/>
  <c r="C105" i="6"/>
  <c r="E94" i="6"/>
  <c r="C94" i="6"/>
  <c r="E83" i="6"/>
  <c r="C83" i="6"/>
  <c r="E67" i="6"/>
  <c r="C67" i="6"/>
  <c r="E58" i="6"/>
  <c r="C58" i="6"/>
  <c r="E46" i="6"/>
  <c r="C46" i="6"/>
  <c r="E21" i="6"/>
  <c r="C21" i="6"/>
  <c r="E11" i="6"/>
  <c r="C11" i="6"/>
  <c r="E15" i="8"/>
  <c r="E10" i="8"/>
  <c r="E8" i="8"/>
  <c r="E30" i="8"/>
  <c r="E42" i="8"/>
  <c r="E54" i="8"/>
  <c r="E79" i="8"/>
  <c r="E92" i="8"/>
  <c r="E119" i="8"/>
  <c r="E104" i="8"/>
  <c r="E93" i="8"/>
  <c r="E74" i="8"/>
  <c r="E31" i="8"/>
  <c r="E7" i="8"/>
  <c r="E120" i="7"/>
  <c r="C120" i="7"/>
  <c r="E105" i="7"/>
  <c r="C105" i="7"/>
  <c r="E94" i="7"/>
  <c r="C94" i="7"/>
  <c r="E83" i="7"/>
  <c r="C83" i="7"/>
  <c r="E67" i="7"/>
  <c r="C67" i="7"/>
  <c r="E58" i="7"/>
  <c r="C58" i="7"/>
  <c r="E46" i="7"/>
  <c r="C46" i="7"/>
  <c r="E21" i="7"/>
  <c r="C21" i="7"/>
  <c r="E11" i="7"/>
  <c r="C11" i="7"/>
  <c r="C115" i="2"/>
  <c r="D115" i="2"/>
  <c r="E115" i="2"/>
  <c r="F115" i="2"/>
  <c r="C116" i="2"/>
  <c r="D116" i="2"/>
  <c r="E116" i="2"/>
  <c r="F116" i="2"/>
  <c r="C117" i="2"/>
  <c r="D117" i="2"/>
  <c r="E117" i="2"/>
  <c r="F117" i="2"/>
  <c r="C118" i="2"/>
  <c r="D118" i="2"/>
  <c r="E118" i="2"/>
  <c r="F118" i="2"/>
  <c r="C119" i="2"/>
  <c r="D119" i="2"/>
  <c r="E119" i="2"/>
  <c r="F119" i="2"/>
  <c r="I117" i="2"/>
  <c r="J117" i="2"/>
  <c r="K117" i="2"/>
  <c r="I118" i="2"/>
  <c r="J118" i="2"/>
  <c r="K118" i="2"/>
  <c r="I119" i="2"/>
  <c r="J119" i="2"/>
  <c r="C105" i="2"/>
  <c r="D105" i="2"/>
  <c r="F105" i="2"/>
  <c r="F104" i="2"/>
  <c r="D87" i="2"/>
  <c r="C93" i="2"/>
  <c r="D93" i="2"/>
  <c r="E93" i="2"/>
  <c r="F93" i="2"/>
  <c r="C94" i="2"/>
  <c r="D94" i="2"/>
  <c r="E94" i="2"/>
  <c r="F94" i="2"/>
  <c r="I71" i="2"/>
  <c r="I83" i="2"/>
  <c r="J83" i="2"/>
  <c r="K83" i="2"/>
  <c r="I79" i="2"/>
  <c r="J79" i="2"/>
  <c r="K79" i="2"/>
  <c r="I80" i="2"/>
  <c r="J80" i="2"/>
  <c r="K80" i="2"/>
  <c r="I81" i="2"/>
  <c r="J81" i="2"/>
  <c r="K81" i="2"/>
  <c r="I82" i="2"/>
  <c r="J82" i="2"/>
  <c r="K82" i="2"/>
  <c r="C78" i="2"/>
  <c r="D78" i="2"/>
  <c r="E78" i="2"/>
  <c r="F78" i="2"/>
  <c r="C79" i="2"/>
  <c r="D79" i="2"/>
  <c r="E79" i="2"/>
  <c r="F79" i="2"/>
  <c r="C80" i="2"/>
  <c r="D80" i="2"/>
  <c r="E80" i="2"/>
  <c r="F80" i="2"/>
  <c r="C81" i="2"/>
  <c r="D81" i="2"/>
  <c r="E81" i="2"/>
  <c r="F81" i="2"/>
  <c r="C82" i="2"/>
  <c r="D82" i="2"/>
  <c r="E82" i="2"/>
  <c r="F82" i="2"/>
  <c r="C83" i="2"/>
  <c r="D83" i="2"/>
  <c r="E83" i="2"/>
  <c r="F83" i="2"/>
  <c r="I58" i="2"/>
  <c r="J58" i="2"/>
  <c r="K58" i="2"/>
  <c r="C56" i="2"/>
  <c r="D56" i="2"/>
  <c r="E56" i="2"/>
  <c r="F56" i="2"/>
  <c r="C57" i="2"/>
  <c r="D57" i="2"/>
  <c r="F57" i="2"/>
  <c r="C58" i="2"/>
  <c r="D58" i="2"/>
  <c r="E58" i="2"/>
  <c r="F58" i="2"/>
  <c r="I44" i="2"/>
  <c r="J44" i="2"/>
  <c r="K44" i="2"/>
  <c r="I45" i="2"/>
  <c r="J45" i="2"/>
  <c r="K45" i="2"/>
  <c r="I46" i="2"/>
  <c r="J46" i="2"/>
  <c r="K46" i="2"/>
  <c r="C42" i="2"/>
  <c r="D42" i="2"/>
  <c r="E42" i="2"/>
  <c r="F42" i="2"/>
  <c r="C43" i="2"/>
  <c r="D43" i="2"/>
  <c r="E43" i="2"/>
  <c r="F43" i="2"/>
  <c r="C44" i="2"/>
  <c r="D44" i="2"/>
  <c r="E44" i="2"/>
  <c r="F44" i="2"/>
  <c r="C45" i="2"/>
  <c r="D45" i="2"/>
  <c r="E45" i="2"/>
  <c r="F45" i="2"/>
  <c r="C46" i="2"/>
  <c r="D46" i="2"/>
  <c r="E46" i="2"/>
  <c r="F46" i="2"/>
  <c r="C31" i="2"/>
  <c r="D31" i="2"/>
  <c r="E31" i="2"/>
  <c r="F31" i="2"/>
  <c r="C32" i="2"/>
  <c r="D32" i="2"/>
  <c r="E32" i="2"/>
  <c r="F32" i="2"/>
  <c r="F21" i="2"/>
  <c r="K109" i="2"/>
  <c r="K110" i="2"/>
  <c r="K111" i="2"/>
  <c r="K112" i="2"/>
  <c r="K113" i="2"/>
  <c r="K114" i="2"/>
  <c r="K115" i="2"/>
  <c r="K116" i="2"/>
  <c r="K98" i="2"/>
  <c r="K99" i="2"/>
  <c r="K100" i="2"/>
  <c r="K101" i="2"/>
  <c r="K102" i="2"/>
  <c r="K103" i="2"/>
  <c r="K104" i="2"/>
  <c r="K105" i="2"/>
  <c r="K87" i="2"/>
  <c r="K88" i="2"/>
  <c r="K89" i="2"/>
  <c r="K90" i="2"/>
  <c r="K91" i="2"/>
  <c r="K92" i="2"/>
  <c r="K93" i="2"/>
  <c r="K94" i="2"/>
  <c r="K62" i="2"/>
  <c r="K63" i="2"/>
  <c r="K64" i="2"/>
  <c r="K65" i="2"/>
  <c r="K66" i="2"/>
  <c r="K67" i="2"/>
  <c r="K71" i="2"/>
  <c r="K72" i="2"/>
  <c r="K73" i="2"/>
  <c r="K74" i="2"/>
  <c r="K75" i="2"/>
  <c r="K76" i="2"/>
  <c r="K77" i="2"/>
  <c r="K78" i="2"/>
  <c r="K50" i="2"/>
  <c r="K51" i="2"/>
  <c r="K52" i="2"/>
  <c r="K53" i="2"/>
  <c r="K54" i="2"/>
  <c r="K55" i="2"/>
  <c r="K56" i="2"/>
  <c r="K57" i="2"/>
  <c r="K36" i="2"/>
  <c r="K37" i="2"/>
  <c r="K38" i="2"/>
  <c r="K39" i="2"/>
  <c r="K40" i="2"/>
  <c r="K41" i="2"/>
  <c r="K42" i="2"/>
  <c r="K43" i="2"/>
  <c r="K25" i="2"/>
  <c r="K26" i="2"/>
  <c r="K27" i="2"/>
  <c r="K28" i="2"/>
  <c r="K29" i="2"/>
  <c r="K30" i="2"/>
  <c r="K31" i="2"/>
  <c r="K32" i="2"/>
  <c r="K15" i="2"/>
  <c r="K16" i="2"/>
  <c r="K17" i="2"/>
  <c r="K18" i="2"/>
  <c r="K19" i="2"/>
  <c r="K20" i="2"/>
  <c r="K21" i="2"/>
  <c r="K5" i="2"/>
  <c r="K6" i="2"/>
  <c r="K7" i="2"/>
  <c r="K8" i="2"/>
  <c r="K9" i="2"/>
  <c r="K10" i="2"/>
  <c r="K11" i="2"/>
  <c r="I109" i="2"/>
  <c r="I110" i="2"/>
  <c r="I111" i="2"/>
  <c r="I112" i="2"/>
  <c r="I113" i="2"/>
  <c r="I114" i="2"/>
  <c r="I115" i="2"/>
  <c r="I116" i="2"/>
  <c r="I98" i="2"/>
  <c r="I99" i="2"/>
  <c r="I100" i="2"/>
  <c r="I101" i="2"/>
  <c r="I102" i="2"/>
  <c r="I103" i="2"/>
  <c r="I104" i="2"/>
  <c r="I105" i="2"/>
  <c r="I87" i="2"/>
  <c r="I88" i="2"/>
  <c r="I89" i="2"/>
  <c r="I90" i="2"/>
  <c r="I91" i="2"/>
  <c r="I92" i="2"/>
  <c r="I93" i="2"/>
  <c r="I94" i="2"/>
  <c r="I72" i="2"/>
  <c r="I73" i="2"/>
  <c r="I74" i="2"/>
  <c r="I75" i="2"/>
  <c r="I76" i="2"/>
  <c r="I77" i="2"/>
  <c r="I78" i="2"/>
  <c r="I62" i="2"/>
  <c r="I63" i="2"/>
  <c r="I64" i="2"/>
  <c r="I65" i="2"/>
  <c r="I66" i="2"/>
  <c r="I67" i="2"/>
  <c r="I50" i="2"/>
  <c r="I51" i="2"/>
  <c r="I52" i="2"/>
  <c r="I53" i="2"/>
  <c r="I54" i="2"/>
  <c r="I55" i="2"/>
  <c r="I56" i="2"/>
  <c r="I57" i="2"/>
  <c r="I36" i="2"/>
  <c r="I37" i="2"/>
  <c r="I38" i="2"/>
  <c r="I39" i="2"/>
  <c r="I40" i="2"/>
  <c r="I41" i="2"/>
  <c r="I42" i="2"/>
  <c r="I43" i="2"/>
  <c r="I26" i="2"/>
  <c r="I27" i="2"/>
  <c r="I28" i="2"/>
  <c r="I29" i="2"/>
  <c r="I30" i="2"/>
  <c r="I31" i="2"/>
  <c r="I32" i="2"/>
  <c r="I15" i="2"/>
  <c r="I16" i="2"/>
  <c r="I17" i="2"/>
  <c r="I18" i="2"/>
  <c r="I19" i="2"/>
  <c r="I20" i="2"/>
  <c r="I21" i="2"/>
  <c r="J109" i="2"/>
  <c r="J110" i="2"/>
  <c r="J111" i="2"/>
  <c r="J112" i="2"/>
  <c r="J113" i="2"/>
  <c r="J114" i="2"/>
  <c r="J115" i="2"/>
  <c r="J116" i="2"/>
  <c r="J98" i="2"/>
  <c r="J99" i="2"/>
  <c r="J100" i="2"/>
  <c r="J101" i="2"/>
  <c r="J102" i="2"/>
  <c r="J103" i="2"/>
  <c r="J104" i="2"/>
  <c r="J105" i="2"/>
  <c r="J87" i="2"/>
  <c r="J88" i="2"/>
  <c r="J89" i="2"/>
  <c r="J90" i="2"/>
  <c r="J91" i="2"/>
  <c r="J92" i="2"/>
  <c r="J93" i="2"/>
  <c r="J94" i="2"/>
  <c r="J71" i="2"/>
  <c r="J72" i="2"/>
  <c r="J73" i="2"/>
  <c r="J74" i="2"/>
  <c r="J75" i="2"/>
  <c r="J76" i="2"/>
  <c r="J77" i="2"/>
  <c r="J78" i="2"/>
  <c r="J62" i="2"/>
  <c r="J63" i="2"/>
  <c r="J64" i="2"/>
  <c r="J65" i="2"/>
  <c r="J66" i="2"/>
  <c r="J67" i="2"/>
  <c r="J50" i="2"/>
  <c r="J51" i="2"/>
  <c r="J52" i="2"/>
  <c r="J53" i="2"/>
  <c r="J54" i="2"/>
  <c r="J55" i="2"/>
  <c r="J56" i="2"/>
  <c r="J57" i="2"/>
  <c r="J36" i="2"/>
  <c r="J37" i="2"/>
  <c r="J38" i="2"/>
  <c r="J39" i="2"/>
  <c r="J40" i="2"/>
  <c r="J41" i="2"/>
  <c r="J42" i="2"/>
  <c r="J43" i="2"/>
  <c r="J15" i="2"/>
  <c r="J16" i="2"/>
  <c r="J17" i="2"/>
  <c r="J18" i="2"/>
  <c r="J19" i="2"/>
  <c r="J20" i="2"/>
  <c r="J21" i="2"/>
  <c r="J5" i="2"/>
  <c r="J6" i="2"/>
  <c r="J7" i="2"/>
  <c r="J8" i="2"/>
  <c r="J9" i="2"/>
  <c r="J10" i="2"/>
  <c r="J11" i="2"/>
  <c r="J4" i="2"/>
  <c r="I5" i="2"/>
  <c r="I6" i="2"/>
  <c r="I7" i="2"/>
  <c r="I8" i="2"/>
  <c r="I9" i="2"/>
  <c r="I10" i="2"/>
  <c r="I11" i="2"/>
  <c r="K4" i="2"/>
  <c r="D109" i="2"/>
  <c r="D110" i="2"/>
  <c r="D111" i="2"/>
  <c r="D112" i="2"/>
  <c r="D113" i="2"/>
  <c r="D114" i="2"/>
  <c r="D98" i="2"/>
  <c r="D99" i="2"/>
  <c r="D100" i="2"/>
  <c r="D101" i="2"/>
  <c r="D102" i="2"/>
  <c r="D103" i="2"/>
  <c r="D104" i="2"/>
  <c r="D88" i="2"/>
  <c r="D89" i="2"/>
  <c r="D90" i="2"/>
  <c r="D91" i="2"/>
  <c r="D92" i="2"/>
  <c r="C62" i="2"/>
  <c r="C63" i="2"/>
  <c r="C64" i="2"/>
  <c r="C65" i="2"/>
  <c r="C66" i="2"/>
  <c r="C67" i="2"/>
  <c r="D71" i="2"/>
  <c r="D72" i="2"/>
  <c r="D73" i="2"/>
  <c r="D74" i="2"/>
  <c r="D75" i="2"/>
  <c r="D76" i="2"/>
  <c r="D77" i="2"/>
  <c r="D62" i="2"/>
  <c r="D63" i="2"/>
  <c r="D64" i="2"/>
  <c r="D65" i="2"/>
  <c r="D66" i="2"/>
  <c r="D67" i="2"/>
  <c r="D50" i="2"/>
  <c r="D51" i="2"/>
  <c r="D52" i="2"/>
  <c r="D53" i="2"/>
  <c r="D54" i="2"/>
  <c r="D55" i="2"/>
  <c r="D36" i="2"/>
  <c r="D37" i="2"/>
  <c r="D38" i="2"/>
  <c r="D39" i="2"/>
  <c r="D40" i="2"/>
  <c r="D41" i="2"/>
  <c r="D25" i="2"/>
  <c r="D26" i="2"/>
  <c r="D27" i="2"/>
  <c r="D28" i="2"/>
  <c r="D29" i="2"/>
  <c r="D30" i="2"/>
  <c r="D15" i="2"/>
  <c r="D16" i="2"/>
  <c r="D17" i="2"/>
  <c r="D18" i="2"/>
  <c r="D19" i="2"/>
  <c r="D20" i="2"/>
  <c r="D21" i="2"/>
  <c r="D5" i="2"/>
  <c r="D6" i="2"/>
  <c r="D7" i="2"/>
  <c r="D8" i="2"/>
  <c r="D9" i="2"/>
  <c r="D10" i="2"/>
  <c r="D4" i="2"/>
  <c r="C109" i="2"/>
  <c r="C110" i="2"/>
  <c r="C111" i="2"/>
  <c r="C112" i="2"/>
  <c r="C113" i="2"/>
  <c r="C114" i="2"/>
  <c r="C87" i="2"/>
  <c r="C88" i="2"/>
  <c r="C89" i="2"/>
  <c r="C90" i="2"/>
  <c r="C91" i="2"/>
  <c r="C92" i="2"/>
  <c r="C98" i="2"/>
  <c r="C99" i="2"/>
  <c r="C100" i="2"/>
  <c r="C101" i="2"/>
  <c r="C102" i="2"/>
  <c r="C103" i="2"/>
  <c r="C104" i="2"/>
  <c r="C71" i="2"/>
  <c r="C72" i="2"/>
  <c r="C73" i="2"/>
  <c r="C74" i="2"/>
  <c r="C75" i="2"/>
  <c r="C76" i="2"/>
  <c r="C77" i="2"/>
  <c r="C50" i="2"/>
  <c r="C51" i="2"/>
  <c r="C52" i="2"/>
  <c r="C53" i="2"/>
  <c r="C54" i="2"/>
  <c r="C55" i="2"/>
  <c r="C36" i="2"/>
  <c r="C37" i="2"/>
  <c r="C38" i="2"/>
  <c r="C39" i="2"/>
  <c r="C40" i="2"/>
  <c r="C41" i="2"/>
  <c r="C25" i="2"/>
  <c r="C26" i="2"/>
  <c r="C27" i="2"/>
  <c r="C28" i="2"/>
  <c r="C29" i="2"/>
  <c r="C30" i="2"/>
  <c r="C15" i="2"/>
  <c r="C16" i="2"/>
  <c r="C17" i="2"/>
  <c r="C18" i="2"/>
  <c r="C19" i="2"/>
  <c r="C20" i="2"/>
  <c r="C21" i="2"/>
  <c r="C5" i="2"/>
  <c r="C6" i="2"/>
  <c r="C8" i="2"/>
  <c r="C9" i="2"/>
  <c r="C10" i="2"/>
  <c r="C4" i="2"/>
  <c r="E109" i="2"/>
  <c r="E110" i="2"/>
  <c r="E111" i="2"/>
  <c r="E112" i="2"/>
  <c r="E113" i="2"/>
  <c r="E114" i="2"/>
  <c r="E98" i="2"/>
  <c r="E99" i="2"/>
  <c r="E100" i="2"/>
  <c r="E101" i="2"/>
  <c r="E102" i="2"/>
  <c r="E103" i="2"/>
  <c r="E105" i="2"/>
  <c r="E87" i="2"/>
  <c r="E88" i="2"/>
  <c r="E89" i="2"/>
  <c r="E90" i="2"/>
  <c r="E91" i="2"/>
  <c r="E92" i="2"/>
  <c r="E71" i="2"/>
  <c r="E72" i="2"/>
  <c r="E73" i="2"/>
  <c r="E74" i="2"/>
  <c r="E75" i="2"/>
  <c r="E76" i="2"/>
  <c r="E77" i="2"/>
  <c r="E62" i="2"/>
  <c r="E63" i="2"/>
  <c r="E64" i="2"/>
  <c r="E65" i="2"/>
  <c r="E66" i="2"/>
  <c r="E67" i="2"/>
  <c r="E50" i="2"/>
  <c r="E51" i="2"/>
  <c r="E52" i="2"/>
  <c r="E53" i="2"/>
  <c r="E54" i="2"/>
  <c r="E55" i="2"/>
  <c r="E36" i="2"/>
  <c r="E37" i="2"/>
  <c r="E38" i="2"/>
  <c r="E39" i="2"/>
  <c r="E40" i="2"/>
  <c r="E41" i="2"/>
  <c r="E25" i="2"/>
  <c r="E26" i="2"/>
  <c r="E27" i="2"/>
  <c r="E28" i="2"/>
  <c r="E29" i="2"/>
  <c r="E30" i="2"/>
  <c r="E15" i="2"/>
  <c r="E16" i="2"/>
  <c r="E17" i="2"/>
  <c r="E18" i="2"/>
  <c r="E19" i="2"/>
  <c r="E20" i="2"/>
  <c r="E21" i="2"/>
  <c r="E5" i="2"/>
  <c r="E6" i="2"/>
  <c r="E7" i="2"/>
  <c r="E8" i="2"/>
  <c r="E9" i="2"/>
  <c r="E10" i="2"/>
  <c r="E11" i="2"/>
  <c r="F109" i="2"/>
  <c r="F110" i="2"/>
  <c r="F111" i="2"/>
  <c r="F112" i="2"/>
  <c r="F113" i="2"/>
  <c r="F114" i="2"/>
  <c r="F98" i="2"/>
  <c r="F99" i="2"/>
  <c r="F100" i="2"/>
  <c r="F101" i="2"/>
  <c r="F102" i="2"/>
  <c r="F103" i="2"/>
  <c r="F87" i="2"/>
  <c r="F88" i="2"/>
  <c r="F89" i="2"/>
  <c r="F90" i="2"/>
  <c r="F91" i="2"/>
  <c r="F92" i="2"/>
  <c r="F72" i="2"/>
  <c r="F73" i="2"/>
  <c r="F74" i="2"/>
  <c r="F75" i="2"/>
  <c r="F76" i="2"/>
  <c r="F77" i="2"/>
  <c r="F62" i="2"/>
  <c r="F63" i="2"/>
  <c r="F64" i="2"/>
  <c r="F65" i="2"/>
  <c r="F66" i="2"/>
  <c r="F67" i="2"/>
  <c r="F50" i="2"/>
  <c r="F51" i="2"/>
  <c r="F52" i="2"/>
  <c r="F53" i="2"/>
  <c r="F54" i="2"/>
  <c r="F55" i="2"/>
  <c r="F36" i="2"/>
  <c r="F37" i="2"/>
  <c r="F38" i="2"/>
  <c r="F39" i="2"/>
  <c r="F40" i="2"/>
  <c r="F41" i="2"/>
  <c r="F25" i="2"/>
  <c r="F26" i="2"/>
  <c r="F27" i="2"/>
  <c r="F28" i="2"/>
  <c r="F29" i="2"/>
  <c r="F30" i="2"/>
  <c r="F15" i="2"/>
  <c r="F16" i="2"/>
  <c r="F17" i="2"/>
  <c r="F18" i="2"/>
  <c r="F19" i="2"/>
  <c r="F20" i="2"/>
  <c r="F5" i="2"/>
  <c r="F8" i="2"/>
  <c r="F9" i="2"/>
  <c r="F10" i="2"/>
  <c r="F11" i="2"/>
  <c r="C46" i="8"/>
  <c r="E46" i="8"/>
  <c r="C120" i="8"/>
  <c r="E120" i="8"/>
  <c r="G120" i="2"/>
  <c r="C105" i="8"/>
  <c r="E105" i="8"/>
  <c r="C94" i="8"/>
  <c r="E94" i="8"/>
  <c r="C83" i="8"/>
  <c r="E83" i="8"/>
  <c r="C67" i="8"/>
  <c r="E67" i="8"/>
  <c r="C58" i="8"/>
  <c r="E58" i="8"/>
  <c r="C32" i="8"/>
  <c r="C21" i="8"/>
  <c r="E21" i="8"/>
  <c r="C11" i="8"/>
  <c r="E11" i="8"/>
  <c r="G114" i="2"/>
  <c r="G115" i="2"/>
  <c r="G116" i="2"/>
  <c r="G117" i="2"/>
  <c r="G118" i="2"/>
  <c r="G119" i="2"/>
  <c r="G103" i="2"/>
  <c r="G104" i="2"/>
  <c r="G105" i="2"/>
  <c r="G92" i="2"/>
  <c r="G93" i="2"/>
  <c r="G94" i="2"/>
  <c r="G77" i="2"/>
  <c r="G78" i="2"/>
  <c r="G79" i="2"/>
  <c r="G80" i="2"/>
  <c r="G81" i="2"/>
  <c r="G82" i="2"/>
  <c r="G83" i="2"/>
  <c r="G76" i="2"/>
  <c r="G67" i="2"/>
  <c r="G113" i="2"/>
  <c r="G112" i="2"/>
  <c r="G111" i="2"/>
  <c r="G110" i="2"/>
  <c r="G109" i="2"/>
  <c r="G102" i="2"/>
  <c r="G101" i="2"/>
  <c r="G100" i="2"/>
  <c r="G99" i="2"/>
  <c r="G98" i="2"/>
  <c r="G91" i="2"/>
  <c r="G90" i="2"/>
  <c r="G89" i="2"/>
  <c r="G88" i="2"/>
  <c r="G87" i="2"/>
  <c r="G75" i="2"/>
  <c r="G74" i="2"/>
  <c r="G73" i="2"/>
  <c r="G72" i="2"/>
  <c r="G71" i="2"/>
  <c r="G66" i="2"/>
  <c r="G65" i="2"/>
  <c r="G64" i="2"/>
  <c r="G63" i="2"/>
  <c r="G62" i="2"/>
  <c r="G58" i="2"/>
  <c r="G56" i="2"/>
  <c r="G55" i="2"/>
  <c r="G54" i="2"/>
  <c r="G53" i="2"/>
  <c r="G52" i="2"/>
  <c r="G51" i="2"/>
  <c r="G44" i="2"/>
  <c r="G45" i="2"/>
  <c r="G46" i="2"/>
  <c r="G43" i="2"/>
  <c r="G42" i="2"/>
  <c r="G41" i="2"/>
  <c r="G40" i="2"/>
  <c r="G39" i="2"/>
  <c r="G38" i="2"/>
  <c r="G37" i="2"/>
  <c r="G36" i="2"/>
  <c r="H88" i="2"/>
  <c r="H89" i="2"/>
  <c r="H90" i="2"/>
  <c r="H91" i="2"/>
  <c r="H92" i="2"/>
  <c r="H93" i="2"/>
  <c r="H94" i="2"/>
  <c r="H87" i="2"/>
  <c r="H72" i="2"/>
  <c r="H73" i="2"/>
  <c r="H74" i="2"/>
  <c r="H75" i="2"/>
  <c r="H76" i="2"/>
  <c r="H77" i="2"/>
  <c r="H78" i="2"/>
  <c r="H79" i="2"/>
  <c r="H80" i="2"/>
  <c r="H81" i="2"/>
  <c r="H82" i="2"/>
  <c r="H83" i="2"/>
  <c r="H71" i="2"/>
  <c r="G26" i="2"/>
  <c r="G27" i="2"/>
  <c r="G28" i="2"/>
  <c r="G29" i="2"/>
  <c r="G30" i="2"/>
  <c r="G31" i="2"/>
  <c r="G25" i="2"/>
  <c r="G16" i="2"/>
  <c r="G17" i="2"/>
  <c r="G18" i="2"/>
  <c r="G19" i="2"/>
  <c r="G20" i="2"/>
  <c r="G21" i="2"/>
  <c r="G15" i="2"/>
  <c r="G6" i="2"/>
  <c r="G7" i="2"/>
  <c r="G8" i="2"/>
  <c r="G9" i="2"/>
  <c r="G10" i="2"/>
  <c r="G11" i="2"/>
  <c r="G4" i="2"/>
  <c r="E118" i="9"/>
  <c r="E117" i="9"/>
  <c r="E116" i="9"/>
  <c r="E115" i="9"/>
  <c r="E114" i="9"/>
  <c r="E112" i="9"/>
  <c r="E113" i="9"/>
  <c r="E111" i="9"/>
  <c r="E109" i="9"/>
  <c r="E91" i="9"/>
  <c r="E89" i="9"/>
  <c r="E78" i="9"/>
  <c r="E52" i="9"/>
  <c r="E50" i="9"/>
  <c r="E18" i="9"/>
  <c r="E17" i="9"/>
  <c r="E15" i="9"/>
  <c r="E110" i="9"/>
  <c r="E101" i="9"/>
  <c r="E103" i="9"/>
  <c r="E99" i="9"/>
  <c r="E98" i="9"/>
  <c r="C120" i="9"/>
  <c r="C94" i="9"/>
  <c r="C83" i="9"/>
  <c r="E88" i="9"/>
  <c r="E90" i="9"/>
  <c r="E82" i="9"/>
  <c r="E81" i="9"/>
  <c r="E80" i="9"/>
  <c r="E77" i="9"/>
  <c r="E76" i="9"/>
  <c r="E102" i="9"/>
  <c r="E119" i="9"/>
  <c r="E120" i="9"/>
  <c r="E92" i="9"/>
  <c r="E79" i="9"/>
  <c r="E104" i="9"/>
  <c r="E93" i="9"/>
  <c r="E74" i="9"/>
  <c r="E73" i="9"/>
  <c r="E83" i="9"/>
  <c r="H110" i="2"/>
  <c r="H111" i="2"/>
  <c r="H112" i="2"/>
  <c r="H113" i="2"/>
  <c r="H114" i="2"/>
  <c r="H115" i="2"/>
  <c r="H116" i="2"/>
  <c r="H117" i="2"/>
  <c r="H118" i="2"/>
  <c r="H119" i="2"/>
  <c r="H109" i="2"/>
  <c r="H99" i="2"/>
  <c r="H100" i="2"/>
  <c r="H101" i="2"/>
  <c r="H102" i="2"/>
  <c r="H103" i="2"/>
  <c r="H104" i="2"/>
  <c r="H98" i="2"/>
  <c r="E66" i="9"/>
  <c r="H66" i="2"/>
  <c r="E65" i="9"/>
  <c r="H65" i="2"/>
  <c r="E64" i="9"/>
  <c r="H64" i="2"/>
  <c r="E63" i="9"/>
  <c r="H63" i="2"/>
  <c r="E62" i="9"/>
  <c r="H62" i="2"/>
  <c r="E57" i="9"/>
  <c r="E56" i="9"/>
  <c r="E55" i="9"/>
  <c r="E53" i="9"/>
  <c r="E51" i="9"/>
  <c r="E42" i="9"/>
  <c r="E30" i="9"/>
  <c r="E54" i="9"/>
  <c r="E58" i="9"/>
  <c r="C58" i="9"/>
  <c r="E46" i="9"/>
  <c r="C46" i="9"/>
  <c r="E31" i="9"/>
  <c r="E29" i="9"/>
  <c r="E27" i="9"/>
  <c r="E26" i="9"/>
  <c r="H44" i="2"/>
  <c r="H45" i="2"/>
  <c r="H57" i="2"/>
  <c r="H56" i="2"/>
  <c r="H55" i="2"/>
  <c r="H54" i="2"/>
  <c r="H53" i="2"/>
  <c r="H52" i="2"/>
  <c r="H51" i="2"/>
  <c r="H50" i="2"/>
  <c r="H43" i="2"/>
  <c r="H42" i="2"/>
  <c r="H41" i="2"/>
  <c r="H40" i="2"/>
  <c r="H39" i="2"/>
  <c r="H38" i="2"/>
  <c r="H37" i="2"/>
  <c r="H36" i="2"/>
  <c r="H31" i="2"/>
  <c r="H30" i="2"/>
  <c r="H29" i="2"/>
  <c r="H28" i="2"/>
  <c r="H27" i="2"/>
  <c r="H26" i="2"/>
  <c r="E105" i="9"/>
  <c r="H105" i="2"/>
  <c r="C105" i="9"/>
  <c r="E67" i="9"/>
  <c r="H67" i="2"/>
  <c r="C67" i="9"/>
  <c r="H58" i="2"/>
  <c r="H46" i="2"/>
  <c r="E32" i="9"/>
  <c r="H32" i="2"/>
  <c r="C32" i="9"/>
  <c r="H5" i="2"/>
  <c r="H6" i="2"/>
  <c r="H8" i="2"/>
  <c r="H20" i="2"/>
  <c r="E19" i="9"/>
  <c r="H19" i="2"/>
  <c r="C21" i="9"/>
  <c r="H18" i="2"/>
  <c r="C11" i="9"/>
  <c r="H17" i="2"/>
  <c r="H16" i="2"/>
  <c r="E10" i="9"/>
  <c r="H10" i="2"/>
  <c r="E9" i="9"/>
  <c r="H9" i="2"/>
  <c r="H7" i="2"/>
  <c r="E11" i="9"/>
  <c r="H11" i="2"/>
  <c r="E32" i="8"/>
  <c r="G32" i="2"/>
  <c r="E94" i="9"/>
  <c r="E21" i="9"/>
  <c r="H21" i="2"/>
  <c r="H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tc={BD404B1A-268E-475B-9886-535EB74F9BD7}</author>
    <author>tc={135E45FD-201B-4ADC-A8CC-9996152209EA}</author>
  </authors>
  <commentList>
    <comment ref="G50" authorId="0" shapeId="0" xr:uid="{BD404B1A-268E-475B-9886-535EB74F9B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Used reg flour
</t>
      </text>
    </comment>
    <comment ref="G55" authorId="1" shapeId="0" xr:uid="{135E45FD-201B-4ADC-A8CC-9996152209E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2%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<sst xmlns="http://schemas.openxmlformats.org/spreadsheetml/2006/main" count="4163" uniqueCount="1090">
  <si>
    <t>Ingredient</t>
  </si>
  <si>
    <t>Amount (Meal)</t>
  </si>
  <si>
    <t>Amount (USDA)</t>
  </si>
  <si>
    <t>Calories</t>
  </si>
  <si>
    <t>Fat</t>
  </si>
  <si>
    <t>Sodium</t>
  </si>
  <si>
    <t xml:space="preserve">Carbs </t>
  </si>
  <si>
    <t>Protein</t>
  </si>
  <si>
    <t>Link</t>
  </si>
  <si>
    <t>USDA: https://fdc.nal.usda.gov/ *if you cant find it on usda, just go to nutrition info on the website link*</t>
  </si>
  <si>
    <t>Baked Feta Pasta - Taryn</t>
  </si>
  <si>
    <t>Baby Spinach</t>
  </si>
  <si>
    <t xml:space="preserve">1 bag </t>
  </si>
  <si>
    <t>100g</t>
  </si>
  <si>
    <t>Spinach, baby - Components - Foundation | USDA FoodData Central</t>
  </si>
  <si>
    <t>Cherry Tomatoes</t>
  </si>
  <si>
    <t xml:space="preserve">1 container </t>
  </si>
  <si>
    <t>1 cup</t>
  </si>
  <si>
    <t>Pasta, dry, enriched - Nutrients - SR Legacy | USDA FoodData Central</t>
  </si>
  <si>
    <t>Feta block</t>
  </si>
  <si>
    <t>Cheese, feta - Nutrients - SR Legacy | USDA FoodData Central</t>
  </si>
  <si>
    <t xml:space="preserve">Olive oil  </t>
  </si>
  <si>
    <t xml:space="preserve">2 tbsp </t>
  </si>
  <si>
    <t>1 tbsp</t>
  </si>
  <si>
    <t>0g</t>
  </si>
  <si>
    <t>Oil, olive, salad or cooking - Nutrients - SR Legacy | USDA FoodData Central</t>
  </si>
  <si>
    <t>Salt/Pepper</t>
  </si>
  <si>
    <t>generous amount</t>
  </si>
  <si>
    <t>Salt, table, iodized - Nutrients - Foundation | USDA FoodData Central</t>
  </si>
  <si>
    <t>Spices, pepper, black - Nutrients - SR Legacy | USDA FoodData Central</t>
  </si>
  <si>
    <t>Minced garlic</t>
  </si>
  <si>
    <t>Garlic, raw - Nutrients - Foundation | USDA FoodData Central</t>
  </si>
  <si>
    <t xml:space="preserve">Pasta </t>
  </si>
  <si>
    <t xml:space="preserve">8 oz </t>
  </si>
  <si>
    <t>Totals/Meal Total</t>
  </si>
  <si>
    <t>Recipe Reference: https://thespicegirlkitchen.com/creamy-salmon-pasta/</t>
  </si>
  <si>
    <t xml:space="preserve">Overnight Oats - Taryn </t>
  </si>
  <si>
    <t>Old fashioned oats</t>
  </si>
  <si>
    <t>1/4 cup</t>
  </si>
  <si>
    <t>2.5mg</t>
  </si>
  <si>
    <t>Oats, whole grain, rolled, old fashioned - Nutrients - Foundation | USDA FoodData Central</t>
  </si>
  <si>
    <t>Greek yogurt</t>
  </si>
  <si>
    <t>Yogurt, Greek, plain, nonfat - Nutrients - Foundation | USDA FoodData Central</t>
  </si>
  <si>
    <t>Milk (2%?)</t>
  </si>
  <si>
    <t>1/3 cup</t>
  </si>
  <si>
    <t>Milk, reduced fat, fluid, 2% milkfat, with added vitamin A and vitamin D - Nutrients - Foundation | USDA FoodData Central</t>
  </si>
  <si>
    <t>Chia Seeds</t>
  </si>
  <si>
    <t>2 tsp</t>
  </si>
  <si>
    <t>Chia seeds, dry, raw - Nutrients - Foundation | USDA FoodData Central</t>
  </si>
  <si>
    <t>Blueberries</t>
  </si>
  <si>
    <t>Honey</t>
  </si>
  <si>
    <t>Honey - Nutrients - SR Legacy | USDA FoodData Central</t>
  </si>
  <si>
    <t>Recipe reference: https://www.allrecipes.com/recipe/244251/no-cook-overnight-oatmeal/</t>
  </si>
  <si>
    <t xml:space="preserve">Quesidilla - Liliana </t>
  </si>
  <si>
    <t>Tortilla (Large?)</t>
  </si>
  <si>
    <t>Tortillas, ready-to-bake or -fry, flour, shelf stable</t>
  </si>
  <si>
    <t>Butter</t>
  </si>
  <si>
    <t>1 tbs</t>
  </si>
  <si>
    <t>1 Tbs</t>
  </si>
  <si>
    <t>Butter, salted</t>
  </si>
  <si>
    <t>Chicken breast</t>
  </si>
  <si>
    <t>2 breasts</t>
  </si>
  <si>
    <t>Chicken, breast, boneless, skinless, raw</t>
  </si>
  <si>
    <t>Black beans</t>
  </si>
  <si>
    <t>1 can</t>
  </si>
  <si>
    <t>Beans, black, canned, sodium added, drained and rinsed</t>
  </si>
  <si>
    <t>Shredded cheddar cheese</t>
  </si>
  <si>
    <t>Cheese, cheddar</t>
  </si>
  <si>
    <t>1 tsp</t>
  </si>
  <si>
    <t>Repeat Item</t>
  </si>
  <si>
    <t>Olive oil (sub with vegetable)</t>
  </si>
  <si>
    <t>Recipe Reference:</t>
  </si>
  <si>
    <t xml:space="preserve">Taco Soup - Liliana </t>
  </si>
  <si>
    <t>Ground Beef</t>
  </si>
  <si>
    <t>1lb</t>
  </si>
  <si>
    <t>Beef, grass-fed, ground, raw</t>
  </si>
  <si>
    <t>Onion (yellow?)</t>
  </si>
  <si>
    <t>1 onion</t>
  </si>
  <si>
    <t>Onions, yellow, raw</t>
  </si>
  <si>
    <t>Diced tomatos</t>
  </si>
  <si>
    <t>0.5g</t>
  </si>
  <si>
    <t>Tomatoes, canned, red, ripe, diced</t>
  </si>
  <si>
    <t>Taco seasoning</t>
  </si>
  <si>
    <t>1 packet</t>
  </si>
  <si>
    <t>4.5g</t>
  </si>
  <si>
    <t>Seasoning mix, dry, taco, original</t>
  </si>
  <si>
    <t>Kidney beans</t>
  </si>
  <si>
    <t>0.6g</t>
  </si>
  <si>
    <t>Kidney beans, from canned, no added fat</t>
  </si>
  <si>
    <t>Sweet corn</t>
  </si>
  <si>
    <t>Corn, sweet, white, canned, whole kernel, drained solids</t>
  </si>
  <si>
    <t>A pinch</t>
  </si>
  <si>
    <t>1.5 cup bag</t>
  </si>
  <si>
    <t>Fritos</t>
  </si>
  <si>
    <t>half bag</t>
  </si>
  <si>
    <t>Corn chips, plain (Fritos)</t>
  </si>
  <si>
    <t>Sour cream</t>
  </si>
  <si>
    <t>1 small tub</t>
  </si>
  <si>
    <t>Cream, sour, full fat</t>
  </si>
  <si>
    <t>Pancakes - Nate</t>
  </si>
  <si>
    <t>Whole Wheat Flour</t>
  </si>
  <si>
    <t>2 cups</t>
  </si>
  <si>
    <t>Flour, whole wheat, unenriched</t>
  </si>
  <si>
    <t>White Sugar</t>
  </si>
  <si>
    <t>2 tbsp</t>
  </si>
  <si>
    <t>sugars, granulated</t>
  </si>
  <si>
    <t>Baking Powder</t>
  </si>
  <si>
    <t>Leavening agents, baking powder, low-sodium</t>
  </si>
  <si>
    <t>Baking Soda</t>
  </si>
  <si>
    <t>1/2 tsp</t>
  </si>
  <si>
    <t>Leavening agents, baking soda</t>
  </si>
  <si>
    <t>Salt</t>
  </si>
  <si>
    <t>Salt, table</t>
  </si>
  <si>
    <t>Buttermilk</t>
  </si>
  <si>
    <t>2 1/4 cup</t>
  </si>
  <si>
    <t>Milk, buttermilk, fluid, whole</t>
  </si>
  <si>
    <t>Eggs</t>
  </si>
  <si>
    <t>Eggs, Grade A, Large, egg whole</t>
  </si>
  <si>
    <t>Vegetable Oil</t>
  </si>
  <si>
    <t>4 tbsp</t>
  </si>
  <si>
    <t>Oil, vegetable, soybean, refined</t>
  </si>
  <si>
    <t>Recipe: https://www.allrecipes.com/recipe/232131/100-whole-wheat-pancakes/</t>
  </si>
  <si>
    <t>Chicken Caesar Salad - Nate</t>
  </si>
  <si>
    <t>Romaine Lettuce</t>
  </si>
  <si>
    <t>3 cups</t>
  </si>
  <si>
    <t>Lettuce, cos or romaine, raw</t>
  </si>
  <si>
    <t>Chicken Breast</t>
  </si>
  <si>
    <t>1/2 lb</t>
  </si>
  <si>
    <t>1 piece (196g)</t>
  </si>
  <si>
    <t>296 kcal</t>
  </si>
  <si>
    <t>6.21g</t>
  </si>
  <si>
    <t>102mg</t>
  </si>
  <si>
    <t>59.8g</t>
  </si>
  <si>
    <t>Chicken, broiler or fryers, breast, skinless, boneless, meat only, cooked, grilled</t>
  </si>
  <si>
    <t>Shredded Parmesan Cheese</t>
  </si>
  <si>
    <t>1.9g</t>
  </si>
  <si>
    <t>Cheese, parmesan, shredded</t>
  </si>
  <si>
    <t>Croutons</t>
  </si>
  <si>
    <t>handful</t>
  </si>
  <si>
    <t>Croutons, seasoned</t>
  </si>
  <si>
    <t>Caesar Salad Dressing</t>
  </si>
  <si>
    <t>Salad dressing, caesar, fat-free</t>
  </si>
  <si>
    <t>Recipe: https://www.allrecipes.com/recipe/246106/classic-chicken-caesar-salad/</t>
  </si>
  <si>
    <t>Unstuffed Peppers - Fiona</t>
  </si>
  <si>
    <t>Bell Peppers</t>
  </si>
  <si>
    <t>White Onion</t>
  </si>
  <si>
    <t xml:space="preserve">15 oz can crushed tomatoes </t>
  </si>
  <si>
    <t>Olive Oil</t>
  </si>
  <si>
    <t>1 Tbsp</t>
  </si>
  <si>
    <t>1 lb</t>
  </si>
  <si>
    <t>beef broth</t>
  </si>
  <si>
    <t>Rice (white?)</t>
  </si>
  <si>
    <t>Paprika</t>
  </si>
  <si>
    <t>garlic (minced)</t>
  </si>
  <si>
    <t>Oregano</t>
  </si>
  <si>
    <t>red pepper flakes</t>
  </si>
  <si>
    <t>Meatloaf - Nick</t>
  </si>
  <si>
    <t>Italian Bread Crumbs</t>
  </si>
  <si>
    <t>Egg</t>
  </si>
  <si>
    <t>Beef &amp; Avocado Burrito - Nick</t>
  </si>
  <si>
    <t>0.5 lb</t>
  </si>
  <si>
    <t>White Rice</t>
  </si>
  <si>
    <t>Avocado</t>
  </si>
  <si>
    <t>Shredded Mexican Style Cheese</t>
  </si>
  <si>
    <t>Tortilla</t>
  </si>
  <si>
    <t>Veggie Sandwhich</t>
  </si>
  <si>
    <t>Sourdough Bread</t>
  </si>
  <si>
    <t>2 slices</t>
  </si>
  <si>
    <t>Cheese of Choice</t>
  </si>
  <si>
    <t>1 slice</t>
  </si>
  <si>
    <t>Mayonaisse</t>
  </si>
  <si>
    <t>Dijon Mustard</t>
  </si>
  <si>
    <t>1tsp</t>
  </si>
  <si>
    <t>1 half</t>
  </si>
  <si>
    <t>Lettuce (Romaine?)</t>
  </si>
  <si>
    <t>2-3 leaves</t>
  </si>
  <si>
    <t>Tomato</t>
  </si>
  <si>
    <t xml:space="preserve">cucumber </t>
  </si>
  <si>
    <t>red onion</t>
  </si>
  <si>
    <t>1 fourth</t>
  </si>
  <si>
    <t>sprouts</t>
  </si>
  <si>
    <t>salt</t>
  </si>
  <si>
    <t>pinch</t>
  </si>
  <si>
    <t>Quantity</t>
  </si>
  <si>
    <t>Wegmans</t>
  </si>
  <si>
    <t>TJs</t>
  </si>
  <si>
    <t>McLanahas</t>
  </si>
  <si>
    <t>Weis</t>
  </si>
  <si>
    <t>Target D</t>
  </si>
  <si>
    <t xml:space="preserve">Giant </t>
  </si>
  <si>
    <t>Sams Club</t>
  </si>
  <si>
    <t>Target U</t>
  </si>
  <si>
    <t>Aldi</t>
  </si>
  <si>
    <t>Walmart</t>
  </si>
  <si>
    <t>Meatload - Nick</t>
  </si>
  <si>
    <t>Quantity (Recipe)</t>
  </si>
  <si>
    <t>Price</t>
  </si>
  <si>
    <t>Quantity (Store)</t>
  </si>
  <si>
    <t>Per Recipe</t>
  </si>
  <si>
    <t>5 oz</t>
  </si>
  <si>
    <t>https://www.wegmans.com/shop/search?query=baby%20spinach</t>
  </si>
  <si>
    <t>12 oz</t>
  </si>
  <si>
    <t>https://www.wegmans.com/shop/search?query=cherry%20tomatoes</t>
  </si>
  <si>
    <t>Feta Block</t>
  </si>
  <si>
    <t>1 block</t>
  </si>
  <si>
    <t>8 oz</t>
  </si>
  <si>
    <t>https://images.wegmans.com/is/image/wegmanscsprod/970171_PrimaryImage?v=ec6443badbcab4e697377e7c75fc0e151649d13a</t>
  </si>
  <si>
    <t>33.8 oz</t>
  </si>
  <si>
    <t>https://www.wegmans.com/shop/search?query=olive%20oil</t>
  </si>
  <si>
    <t>5.25 oz</t>
  </si>
  <si>
    <t>https://www.wegmans.com/shop/search?query=salt%20pepper</t>
  </si>
  <si>
    <t>https://www.wegmans.com/shop/search?query=minced%20garlic</t>
  </si>
  <si>
    <t>16 0z</t>
  </si>
  <si>
    <t>https://images.wegmans.com/is/image/wegmanscsprod/48986_PrimaryImage?v=13.1</t>
  </si>
  <si>
    <t>Totals</t>
  </si>
  <si>
    <t>42 oz</t>
  </si>
  <si>
    <t>https://www.wegmans.com/shop/search?query=old%20fashioned%20oats</t>
  </si>
  <si>
    <t>32 oz</t>
  </si>
  <si>
    <t>https://www.wegmans.com/shop/search?query=greek%20yogurt</t>
  </si>
  <si>
    <t>64 oz</t>
  </si>
  <si>
    <t>https://www.wegmans.com/shop/search?query=milk</t>
  </si>
  <si>
    <t>https://www.wegmans.com/shop/search?query=chia%20seeds</t>
  </si>
  <si>
    <t>Strawberries</t>
  </si>
  <si>
    <t>16 oz</t>
  </si>
  <si>
    <t>https://www.wegmans.com/shop/search?query=strawberries</t>
  </si>
  <si>
    <t>https://www.wegmans.com/shop/search?query=honey</t>
  </si>
  <si>
    <t>https://www.wegmans.com/shop/search?query=tortilla</t>
  </si>
  <si>
    <t>https://www.wegmans.com/shop/search?query=butter</t>
  </si>
  <si>
    <t>1.5 lbs</t>
  </si>
  <si>
    <t xml:space="preserve">1 Tbs </t>
  </si>
  <si>
    <t>Kindey beans</t>
  </si>
  <si>
    <t>1 small tub(8oz)</t>
  </si>
  <si>
    <t>Milk(2%?)</t>
  </si>
  <si>
    <t>6 oz</t>
  </si>
  <si>
    <t>https://www.traderjoes.com/home/products/category/veggies-119</t>
  </si>
  <si>
    <t>https://www.traderjoes.com/home/products/pdp/cherry-tomatoes-on-the-vine-070500</t>
  </si>
  <si>
    <t>https://www.traderjoes.com/home/products/pdp/feta-cheese-079858</t>
  </si>
  <si>
    <t>https://www.traderjoes.com/home/products/pdp/imported-olive-oil-packed-in-italy-001437</t>
  </si>
  <si>
    <t>17.6 Oz</t>
  </si>
  <si>
    <t>https://www.traderjoes.com/home/products/pdp/fine-grain-pink-salt-076300, https://www.traderjoes.com/home/products/pdp/organic-ground-black-pepper-068491</t>
  </si>
  <si>
    <t>https://www.traderjoes.com/home/products/pdp/organic-fusilli-corti-bucati-pasta-072525</t>
  </si>
  <si>
    <t>18 oz</t>
  </si>
  <si>
    <t>https://www.traderjoes.com/home/products/pdp/oven-toasted-old-fashioned-organic-oats-004856</t>
  </si>
  <si>
    <t>https://www.traderjoes.com/home/products/pdp/greek-nonfat-yogurt-plain-086450</t>
  </si>
  <si>
    <t>https://www.traderjoes.com/home/products/pdp/strawberries-2-lb-078515</t>
  </si>
  <si>
    <t>12 tortilla</t>
  </si>
  <si>
    <t>https://www.traderjoes.com/home/products/pdp/sonora-style-flour-tortillas-077519</t>
  </si>
  <si>
    <t>https://www.traderjoes.com/home/products/pdp/organic-free-range-boneless-skinless-chicken-breasts-063550</t>
  </si>
  <si>
    <t>https://www.traderjoes.com/home/products/pdp/black-beans-009636</t>
  </si>
  <si>
    <t>https://www.traderjoes.com/home/products/pdp/shredded-3-cheese-blend-016541</t>
  </si>
  <si>
    <t>https://www.traderjoes.com/home/products/pdp/ground-beef-80-lean-20-fat-091082</t>
  </si>
  <si>
    <t>https://www.traderjoes.com/home/products/pdp/jumbo-yellow-onions-095520</t>
  </si>
  <si>
    <t>https://www.traderjoes.com/home/products/pdp/taco-seasoning-mix-093089</t>
  </si>
  <si>
    <t>15.5 oz</t>
  </si>
  <si>
    <t>https://www.traderjoes.com/home/products/pdp/organic-kidney-beans-050264</t>
  </si>
  <si>
    <t>15 oz</t>
  </si>
  <si>
    <t>https://www.traderjoes.com/home/products/pdp/whole-kernel-corn-001605</t>
  </si>
  <si>
    <t>https://www.traderjoes.com/home/products/pdp/sour-cream-006223</t>
  </si>
  <si>
    <t>80 oz</t>
  </si>
  <si>
    <t>https://www.traderjoes.com/home/products/pdp/organic-unbleached-all-purpose-flour-069793</t>
  </si>
  <si>
    <t>https://www.traderjoes.com/home/products/pdp/organic-cane-sugar-027042</t>
  </si>
  <si>
    <t>https://www.traderjoes.com/home/products/pdp/pasture-raised-large-brown-eggs-062124</t>
  </si>
  <si>
    <t>1 bag</t>
  </si>
  <si>
    <t>https://www.traderjoes.com/home/products/pdp/romaine-hearts-037786</t>
  </si>
  <si>
    <t>8 ox</t>
  </si>
  <si>
    <t>https://www.traderjoes.com/home/products/pdp/shredded-parmesan-cheese-alternative-070636</t>
  </si>
  <si>
    <t>4.5 oz</t>
  </si>
  <si>
    <t>https://www.traderjoes.com/home/products/pdp/rosemary-croissant-croutons-072051</t>
  </si>
  <si>
    <t>11 oz</t>
  </si>
  <si>
    <t>https://www.traderjoes.com/home/products/pdp/vegan-caesar-dressing-068174</t>
  </si>
  <si>
    <t>https://www.traderjoes.com/home/products/pdp/organic-tri-color-bell-peppers-095882</t>
  </si>
  <si>
    <t>48 oz</t>
  </si>
  <si>
    <t>https://www.traderjoes.com/home/products/pdp/jasmine-rice-from-thailand-052252</t>
  </si>
  <si>
    <t>10 oz</t>
  </si>
  <si>
    <t>https://www.traderjoes.com/home/products/pdp/organic-bread-crumbs-092978</t>
  </si>
  <si>
    <t>4 avocados</t>
  </si>
  <si>
    <t>https://www.traderjoes.com/home/products/pdp/avocados-4-count-112550</t>
  </si>
  <si>
    <t>12 slices</t>
  </si>
  <si>
    <t>https://www.traderjoes.com/home/products/pdp/sourdough-bread-sliced-000152</t>
  </si>
  <si>
    <t>https://www.traderjoes.com/home/products/pdp/sliced-provolone-cheese-079681</t>
  </si>
  <si>
    <t>https://www.traderjoes.com/home/products/pdp/organic-mayonnaise-060932</t>
  </si>
  <si>
    <t>13 oz</t>
  </si>
  <si>
    <t>https://www.traderjoes.com/home/products/category/condiments-62</t>
  </si>
  <si>
    <t>5oz bag</t>
  </si>
  <si>
    <t>NA</t>
  </si>
  <si>
    <t>8oz container</t>
  </si>
  <si>
    <t>17 fl oz</t>
  </si>
  <si>
    <t>3.4 oz shakers</t>
  </si>
  <si>
    <t>6oz jar</t>
  </si>
  <si>
    <t>16oz package</t>
  </si>
  <si>
    <t>32 oz container</t>
  </si>
  <si>
    <t>1 gallon</t>
  </si>
  <si>
    <t>8 oz bag</t>
  </si>
  <si>
    <t>1 lb container</t>
  </si>
  <si>
    <t>12 oz container</t>
  </si>
  <si>
    <t>8 pack</t>
  </si>
  <si>
    <t>15 oz container</t>
  </si>
  <si>
    <t>3.5 lbs</t>
  </si>
  <si>
    <t>15 oz can</t>
  </si>
  <si>
    <t>1 individual</t>
  </si>
  <si>
    <t>1 oz package</t>
  </si>
  <si>
    <t>5lb bag</t>
  </si>
  <si>
    <t>16 oz container</t>
  </si>
  <si>
    <t>14 oz bag</t>
  </si>
  <si>
    <t>1 lb box</t>
  </si>
  <si>
    <t>3.4 oz shaker</t>
  </si>
  <si>
    <t>12 ct container</t>
  </si>
  <si>
    <t>1 quart</t>
  </si>
  <si>
    <t>1 head</t>
  </si>
  <si>
    <t>3.5 lb container</t>
  </si>
  <si>
    <t>5 oz bag</t>
  </si>
  <si>
    <t>16 fl oz</t>
  </si>
  <si>
    <t>4 pack</t>
  </si>
  <si>
    <t>32 fl oz carton</t>
  </si>
  <si>
    <t>28oz container</t>
  </si>
  <si>
    <t>2.5 oz shaker</t>
  </si>
  <si>
    <t>1.25 oz</t>
  </si>
  <si>
    <t>1.75 oz</t>
  </si>
  <si>
    <t>16 oz loaf</t>
  </si>
  <si>
    <t>16 slice pack</t>
  </si>
  <si>
    <t>8 fl oz jar</t>
  </si>
  <si>
    <t>7.5 oz container</t>
  </si>
  <si>
    <t>1 lb bag</t>
  </si>
  <si>
    <t>each</t>
  </si>
  <si>
    <t>Bag of Baby Spinach - Weis</t>
  </si>
  <si>
    <t>Cherry Tomatoes - Weis</t>
  </si>
  <si>
    <t>block</t>
  </si>
  <si>
    <t>Feta Block - Weis</t>
  </si>
  <si>
    <t>16 fl oz bottle</t>
  </si>
  <si>
    <t>Olive Oil Bottle - Weis</t>
  </si>
  <si>
    <t>5.25 oz shakers</t>
  </si>
  <si>
    <t>Salt/Pepper Shakers - Weis</t>
  </si>
  <si>
    <t>Minced Garlic - Weis</t>
  </si>
  <si>
    <t>Farfalle Pasta - Weis</t>
  </si>
  <si>
    <t>18 oz container</t>
  </si>
  <si>
    <t>Old Fashioned Oats - Weis</t>
  </si>
  <si>
    <t>Vanilla Greek Yogurt - Weis</t>
  </si>
  <si>
    <t>2% Milk Quart - Weis</t>
  </si>
  <si>
    <t>14 oz package</t>
  </si>
  <si>
    <t>Chia Seeds - Weis</t>
  </si>
  <si>
    <t>1 lb package</t>
  </si>
  <si>
    <t>1 lb Container of Strawberries - Weis</t>
  </si>
  <si>
    <t>Bear Shaped Honey Container - Weis</t>
  </si>
  <si>
    <t>8 count pack</t>
  </si>
  <si>
    <t>Tortillas - Weis</t>
  </si>
  <si>
    <t>8 ounce pack</t>
  </si>
  <si>
    <t>Butter Sticks - Weis</t>
  </si>
  <si>
    <t>1.5 lb container</t>
  </si>
  <si>
    <t>Chicken Breasts - Weis</t>
  </si>
  <si>
    <t>Black Beans - Weis</t>
  </si>
  <si>
    <t>Shredded Cheese - Weis</t>
  </si>
  <si>
    <t>Ground Beef - Weis</t>
  </si>
  <si>
    <t>3lb bag</t>
  </si>
  <si>
    <t>Yellow Onions - Weis</t>
  </si>
  <si>
    <t>Tomatoes - Weis</t>
  </si>
  <si>
    <t>Taco Seasoning - Weis</t>
  </si>
  <si>
    <t>Kidney Beans</t>
  </si>
  <si>
    <t>Sweet Corn - Weis</t>
  </si>
  <si>
    <t>2 cup bag</t>
  </si>
  <si>
    <t>Fritos - Weis</t>
  </si>
  <si>
    <t>8 oz tub</t>
  </si>
  <si>
    <t>Sour Cream - Weis</t>
  </si>
  <si>
    <t>Whole Wheat Flour - Weis</t>
  </si>
  <si>
    <t>4lb bag</t>
  </si>
  <si>
    <t>White Sugar - Weis</t>
  </si>
  <si>
    <t>4oz container</t>
  </si>
  <si>
    <t>Baking Powder - Weis</t>
  </si>
  <si>
    <t>Baking Soda - Weis</t>
  </si>
  <si>
    <t>5.25oz shakers</t>
  </si>
  <si>
    <t>Buttermilk - Weis</t>
  </si>
  <si>
    <t>12 count carton</t>
  </si>
  <si>
    <t>Eggs - Weis</t>
  </si>
  <si>
    <t>Vegetable Oil - Weis</t>
  </si>
  <si>
    <t>1 lb fresh</t>
  </si>
  <si>
    <t>Romaine Lettuce - Weis</t>
  </si>
  <si>
    <t>6oz bag</t>
  </si>
  <si>
    <t>Shredded Parm - Weis</t>
  </si>
  <si>
    <t>Croutons - Weis</t>
  </si>
  <si>
    <t>Caesar Dressing - Weis</t>
  </si>
  <si>
    <t>12 oz bag</t>
  </si>
  <si>
    <t>Bell Peppers - Weis</t>
  </si>
  <si>
    <t>White Onions - Weis</t>
  </si>
  <si>
    <t>28 oz can</t>
  </si>
  <si>
    <t>Crushed Tomatoes - Weis</t>
  </si>
  <si>
    <t>Beef Broth - Weis</t>
  </si>
  <si>
    <t>5 lb bag</t>
  </si>
  <si>
    <t>White Rice - Weis</t>
  </si>
  <si>
    <t>2.5 oz bottle</t>
  </si>
  <si>
    <t>Paprika - Weis</t>
  </si>
  <si>
    <t>1 oz bottle</t>
  </si>
  <si>
    <t>Oregano - Weis</t>
  </si>
  <si>
    <t>1.75 oz bottle</t>
  </si>
  <si>
    <t>Crushed Red Pepper - Weis</t>
  </si>
  <si>
    <t>Italian Breadcrumbs - Weis</t>
  </si>
  <si>
    <t>1 fresh</t>
  </si>
  <si>
    <t>Avacado - Weis</t>
  </si>
  <si>
    <t>Mexican Shredded Cheese - Weis</t>
  </si>
  <si>
    <t>1 loaf</t>
  </si>
  <si>
    <t>Sourdough Bread - Weis</t>
  </si>
  <si>
    <t>24 ct pack</t>
  </si>
  <si>
    <t>American Cheese Slice - Weis</t>
  </si>
  <si>
    <t>15 fl oz container</t>
  </si>
  <si>
    <t>Mayo - Weis</t>
  </si>
  <si>
    <t>12 oz bottle</t>
  </si>
  <si>
    <t>Dijon Mustard - Weis</t>
  </si>
  <si>
    <t>1lb container</t>
  </si>
  <si>
    <t>Tomato - Weis</t>
  </si>
  <si>
    <t>Cucumbers - Weis</t>
  </si>
  <si>
    <t>Red Onion - Weis</t>
  </si>
  <si>
    <t>14 oz can</t>
  </si>
  <si>
    <t>Bean Sprouts - Weis</t>
  </si>
  <si>
    <t>https://www.target.com/p/baby-spinach-5oz-good-38-gather-8482/-/A-54555524#lnk=sametab</t>
  </si>
  <si>
    <t>Fresh Premium Cherry Tomatoes - 10oz - Good &amp; Gather™ (Packaging May Vary) : Target</t>
  </si>
  <si>
    <t>Feta Cheese Chunk - 8oz - Good &amp; Gather™ : Target</t>
  </si>
  <si>
    <t>33 tbsp</t>
  </si>
  <si>
    <t>Extra Virgin Olive Oil - 16.9oz - Good &amp; Gather™ : Target</t>
  </si>
  <si>
    <t>71 of .25 tsp</t>
  </si>
  <si>
    <t>Salt &amp; Pepper Shakers - 5oz - Good &amp; Gather™ : Target</t>
  </si>
  <si>
    <t>9 tbsp</t>
  </si>
  <si>
    <t>Spice World Organic Minced Garlic - 4.5oz : Target</t>
  </si>
  <si>
    <t>Rotini - 16oz - Good &amp; Gather™ : Target</t>
  </si>
  <si>
    <t>13 of 1/2 cup</t>
  </si>
  <si>
    <t>Old Fashioned Oats - 18oz - Good &amp; Gather™ : Target</t>
  </si>
  <si>
    <t>15 of 1/5 cup</t>
  </si>
  <si>
    <t>Greek Plain Nonfat Yogurt - 18g Protein 32oz - Good &amp; Gather™ : Target</t>
  </si>
  <si>
    <t>48 of 1/3 cup</t>
  </si>
  <si>
    <t>2% Reduced Fat Milk - 1gal - Good &amp; Gather™ : Target</t>
  </si>
  <si>
    <t>None</t>
  </si>
  <si>
    <t>16 oz/2 cups</t>
  </si>
  <si>
    <t>Fresh Strawberries - 1lb : Target</t>
  </si>
  <si>
    <t>48 tsp</t>
  </si>
  <si>
    <t>Raw and Unfiltered North American Honey - 12oz - Good &amp; Gather™ : Target</t>
  </si>
  <si>
    <t>8" Flour Tortillas - 10ct - Market Pantry™ : Target</t>
  </si>
  <si>
    <t>32 tbsp</t>
  </si>
  <si>
    <t>Unsalted Butter - 16oz/4ct - Good &amp; Gather™ : Target</t>
  </si>
  <si>
    <t>Perdue Boneless &amp; Skinless Antibiotic Free Chicken Breast - 1.3-2.4lbs - price per lb : Target</t>
  </si>
  <si>
    <t>Low Sodium Black Beans - 15.5oz - Good &amp; Gather™ : Target</t>
  </si>
  <si>
    <t>8 o f1/4 cup</t>
  </si>
  <si>
    <t>Shredded Triple Cheddar Cheese - 8oz - Good &amp; Gather™ : Target</t>
  </si>
  <si>
    <t>Fresh 73/27 Ground Beef - 1lb - Good &amp; Gather™ : Target</t>
  </si>
  <si>
    <t>Fresh Yellow Onion - each : Target</t>
  </si>
  <si>
    <t>14.5 oz can</t>
  </si>
  <si>
    <t>Diced Tomatoes - 14.5oz - Good &amp; Gather™ : Target</t>
  </si>
  <si>
    <t>Old El Paso Gluten Free Taco Seasoning Mix Original 1oz : Target</t>
  </si>
  <si>
    <t>Organic Low Sodium Dark Red Kidney Beans - 15oz - Good &amp; Gather™ : Target</t>
  </si>
  <si>
    <t>Golden Sweet Whole Kernel Corn - 15.25oz - Good &amp; Gather™ : Target</t>
  </si>
  <si>
    <t>1.5 cup</t>
  </si>
  <si>
    <t>1/2 bag</t>
  </si>
  <si>
    <t>9 oz bag</t>
  </si>
  <si>
    <t>Fritos Original Corn Chips - 9.25oz : Target</t>
  </si>
  <si>
    <t>16 tbsp</t>
  </si>
  <si>
    <t>Sour Cream - 8oz - Good &amp; Gather™ : Target</t>
  </si>
  <si>
    <t>75 of 1/4 cup</t>
  </si>
  <si>
    <t>Used reg flour</t>
  </si>
  <si>
    <t>All Purpose Flour - 5lbs - Market Pantry™ : Target</t>
  </si>
  <si>
    <t>151 tbsp</t>
  </si>
  <si>
    <t>Granulated Sugar - 4lbs - Good &amp; Gather™ : Target</t>
  </si>
  <si>
    <t>383 of 1/8 tsp</t>
  </si>
  <si>
    <t>Double Acting Baking Powder - 8.1oz - Good &amp; Gather™ : Target</t>
  </si>
  <si>
    <t>92 tsp</t>
  </si>
  <si>
    <t>ARM &amp; HAMMER Pure Baking Soda - 1lb : Target</t>
  </si>
  <si>
    <t>64 of 1/4 cup</t>
  </si>
  <si>
    <t>Used 2%</t>
  </si>
  <si>
    <t>Grade A Large Eggs - 12ct - Good &amp; Gather™ (Packaging May Vary) : Target</t>
  </si>
  <si>
    <t>96 tbsp</t>
  </si>
  <si>
    <t>7 servings</t>
  </si>
  <si>
    <t>Fresh Romaine Hearts - 3ct/22oz - Good &amp; Gather™ : Target</t>
  </si>
  <si>
    <t>6 of 1/4 cup</t>
  </si>
  <si>
    <t>Finely Shredded Parmesan Cheese - 6oz - Good &amp; Gather™ : Target</t>
  </si>
  <si>
    <t>Ken's Steak House Creamy Caesar Salad Dressing - 16 fl oz : Target</t>
  </si>
  <si>
    <t>3 pack</t>
  </si>
  <si>
    <t>Rainbow Bell Peppers 3ct - Good &amp; Gather™ : Target</t>
  </si>
  <si>
    <t>Fresh White Onion - each : Target</t>
  </si>
  <si>
    <t>Crushed Tomatoes 28oz - Good &amp; Gather™ : Target</t>
  </si>
  <si>
    <t>4 cups</t>
  </si>
  <si>
    <t>Beef Broth - 32oz - Good &amp; Gather™ : Target</t>
  </si>
  <si>
    <t>5 cups</t>
  </si>
  <si>
    <t>Enriched Long Grain White Rice - 32oz - Good &amp; Gather™ : Target</t>
  </si>
  <si>
    <t>2.12 oz</t>
  </si>
  <si>
    <t>Ground Paprika - 2.12oz - Good &amp; Gather™ : Target</t>
  </si>
  <si>
    <t>.75 oz</t>
  </si>
  <si>
    <t>Oregano Leaves - 0.75oz - Good &amp; Gather™ : Target</t>
  </si>
  <si>
    <t>1.15 oz</t>
  </si>
  <si>
    <t>Crushed Red Pepper - 1.5oz - Good &amp; Gather™ : Target</t>
  </si>
  <si>
    <t>4.25 cups</t>
  </si>
  <si>
    <t>Italian-Style Bread Crumbs - 15oz - Market Pantry™ : Target</t>
  </si>
  <si>
    <t>Avocado - each : Target</t>
  </si>
  <si>
    <t>7 of 1/4 cup</t>
  </si>
  <si>
    <t>Shredded Reduced Fat Mexican-Style Cheese - 7oz - Good &amp; Gather™ : Target</t>
  </si>
  <si>
    <t>14 slices</t>
  </si>
  <si>
    <t>Pepperidge Farm Farmhouse Sourdough Bread - 24oz : Target</t>
  </si>
  <si>
    <t xml:space="preserve">12 slices </t>
  </si>
  <si>
    <t>Colby Jack Deli Sliced Cheese - 8oz/12 slices - Good &amp; Gather™ : Target</t>
  </si>
  <si>
    <t>33 tsp</t>
  </si>
  <si>
    <t>Hellmann's Real Mayonnaise Squeeze - 20 fl oz : Target</t>
  </si>
  <si>
    <t>68 tsp</t>
  </si>
  <si>
    <t>Dijon Mustard - 12oz - Market Pantry™ : Target</t>
  </si>
  <si>
    <t>Fresh Organic On-The-Vine Tomatoes - 1lb - Good &amp; Gather™ : Target</t>
  </si>
  <si>
    <t>Fresh Cucumber - 2ct : Target</t>
  </si>
  <si>
    <t>Fresh Red Onion - each : Target</t>
  </si>
  <si>
    <t>6 oz bag</t>
  </si>
  <si>
    <t>Our Brand Salad Basics Baby Spinach - 6 oz bag | GIANT</t>
  </si>
  <si>
    <t>10 oz package</t>
  </si>
  <si>
    <t>NatureSweet Glorys Cherry Tomatoes - 10 oz pkg | GIANT</t>
  </si>
  <si>
    <t xml:space="preserve"> block</t>
  </si>
  <si>
    <t>Our Brand Feta Cheese Block - 6 oz pkg | GIANT</t>
  </si>
  <si>
    <t>Our Brand Extra Virgin Olive Oil - 16.9 oz btl | GIANT</t>
  </si>
  <si>
    <t>Our Brand Salt &amp; Pepper Pre-Filled Shakers - 1 set | GIANT</t>
  </si>
  <si>
    <t xml:space="preserve"> 8 tbsp</t>
  </si>
  <si>
    <t>Nature's Promise Minced Garlic - 4.5 oz jar | GIANT</t>
  </si>
  <si>
    <t>Our Brand Linguine Pasta - 16 oz box | GIANT</t>
  </si>
  <si>
    <t>60  of1/4 cups</t>
  </si>
  <si>
    <t>Our Brand Old Fashioned Rolled Oats - 42 oz can | GIANT</t>
  </si>
  <si>
    <t>15 of 1/4 cup</t>
  </si>
  <si>
    <t>Our Brand Nonfat Plain Greek Yogurt - 32 oz tub | GIANT</t>
  </si>
  <si>
    <t>12  of1/3 cup</t>
  </si>
  <si>
    <t>Our Brand 2% Reduced Fat Milk - 1 quart | GIANT</t>
  </si>
  <si>
    <t>45 tbsp</t>
  </si>
  <si>
    <t>Nature's Promise Organic Whole Black Chia Seeds - 16 oz pkg | GIANT</t>
  </si>
  <si>
    <t>Strawberries - 16 oz pkg | GIANT</t>
  </si>
  <si>
    <t>Our Brand U.S. Grade A Wildflower Honey - 12 oz sqz | GIANT</t>
  </si>
  <si>
    <t>8 ct</t>
  </si>
  <si>
    <t>CHI-CHI'S Burrito Style Flour Tortillas 10 Inch - 8 ct - 17 oz pkg | GIANT</t>
  </si>
  <si>
    <t>32 tbs</t>
  </si>
  <si>
    <t>Our Brand Unsalted Sweet Cream Butter Sticks - 4 ct - 16 oz box | GIANT</t>
  </si>
  <si>
    <t>4 breasts</t>
  </si>
  <si>
    <t>Our Brand 99% Fat Free Boneless Skinless Chicken Breast Cutlets - 4 ct - apx 1 lb | GIANT</t>
  </si>
  <si>
    <t>Our Brand Black Beans - 15.5 oz can | GIANT</t>
  </si>
  <si>
    <t>8 of 1/4 cup</t>
  </si>
  <si>
    <t>Our Brand Finely Shredded Sharp Cheddar Cheese - 8 oz bag | GIANT</t>
  </si>
  <si>
    <t>Our Brand All Natural 80% Lean 20% Fat Ground Beef Fresh - apx 1.2 lb | GIANT</t>
  </si>
  <si>
    <t>Yellow Onions - 1 ea | GIANT</t>
  </si>
  <si>
    <t>Our Brand Diced Tomatoes - 14.5 oz can | GIANT</t>
  </si>
  <si>
    <t>1 pack</t>
  </si>
  <si>
    <t>Our Brand Taco Seasoning Mix Packet - 1.25 oz pkt | GIANT</t>
  </si>
  <si>
    <t>15.5 oz can</t>
  </si>
  <si>
    <t>Our Brand Light Red Kidney Beans - 15.5 oz can | GIANT</t>
  </si>
  <si>
    <t>15.2 oz can</t>
  </si>
  <si>
    <t>Our Brand Whole Kernel Sweet Corn - 15.2 oz can | GIANT</t>
  </si>
  <si>
    <t>4 of 1/2 cup</t>
  </si>
  <si>
    <t>288 chips</t>
  </si>
  <si>
    <t>Fritos Corn Chips The Original - 9.25 oz bag | GIANT</t>
  </si>
  <si>
    <t>14 tbsp</t>
  </si>
  <si>
    <t>Our Brand Sour Cream - 8 oz tub | GIANT</t>
  </si>
  <si>
    <t>19 cups</t>
  </si>
  <si>
    <t>Our Brand Whole Wheat Flour - 5 lb bag | GIANT</t>
  </si>
  <si>
    <t>Our Brand Pure Cane Granulated Sugar - 4 lb bag | GIANT</t>
  </si>
  <si>
    <t>46 tsp</t>
  </si>
  <si>
    <t>Our Brand Baking Powder Double Acting - 8.1 oz can | GIANT</t>
  </si>
  <si>
    <t>90 tsp</t>
  </si>
  <si>
    <t>Our Brand Pure Baking Soda - 16 oz box | GIANT</t>
  </si>
  <si>
    <t>4 cups/1 quart</t>
  </si>
  <si>
    <t>Our Brand 2% Reduced Fat Cultured Buttermilk - 1 quart | GIANT</t>
  </si>
  <si>
    <t>12 eggs</t>
  </si>
  <si>
    <t>Our Brand Large White Eggs - 1 doz | GIANT</t>
  </si>
  <si>
    <t>64 tbsps</t>
  </si>
  <si>
    <t>Our Brand Vegetable Oil - 24 oz btl | GIANT</t>
  </si>
  <si>
    <t>7 cups</t>
  </si>
  <si>
    <t>Our Brand Salad Basics Chopped Romaine - 10 oz bag | GIANT</t>
  </si>
  <si>
    <t>1 lb/ 4 breasts</t>
  </si>
  <si>
    <t>Our Brand Finely Shredded Parmesan Cheese - 6 oz bag | GIANT</t>
  </si>
  <si>
    <t>40 tbsp</t>
  </si>
  <si>
    <t>Our Brand Caesar Croutons - 5 oz bag | GIANT</t>
  </si>
  <si>
    <t>Our Brand Caesar Dressing - 16 oz btl | GIANT</t>
  </si>
  <si>
    <t>Our Brand Rainbow Bell Peppers - 3 ct pkg | GIANT</t>
  </si>
  <si>
    <t>White Onions - 1 ea | GIANT</t>
  </si>
  <si>
    <t>Our Brand Crushed Tomatoes - 28 oz can | GIANT</t>
  </si>
  <si>
    <t>Our Brand Reduced Sodium Beef Broth - 32 oz ctn | GIANT</t>
  </si>
  <si>
    <t>2.5 cups</t>
  </si>
  <si>
    <t>Our Brand Long Grain White Rice - 16 oz bag | GIANT</t>
  </si>
  <si>
    <t>Our Brand Paprika - 2.12 oz btl | GIANT</t>
  </si>
  <si>
    <t>Our Brand Oregano Leaves - 0.75 oz btl | GIANT</t>
  </si>
  <si>
    <t>Our Brand Crushed Red Pepper - 1.5 oz btl | GIANT</t>
  </si>
  <si>
    <t>Our Brand Italian Style Panko Bread Crumbs - 8 oz can | GIANT</t>
  </si>
  <si>
    <t>4 cup/1 quart</t>
  </si>
  <si>
    <t>Ripe Hass Avocados - 1 ea | GIANT</t>
  </si>
  <si>
    <t>Our Brand Finely Shredded Mexican Style 4 Cheese Blend - 8 oz bag | GIANT</t>
  </si>
  <si>
    <t>7 slices</t>
  </si>
  <si>
    <t>Sara Lee Sourdough Sliced Bread Half Loaf - 12 oz bag | GIANT</t>
  </si>
  <si>
    <t>10 slices</t>
  </si>
  <si>
    <t>Our Brand Sharp Cheddar Cheese Slices -10 ct - 8 oz pkg | GIANT</t>
  </si>
  <si>
    <t>59 tbsp</t>
  </si>
  <si>
    <t>Our Brand Real Mayonnaise - 30 oz jar | GIANT</t>
  </si>
  <si>
    <t>Our Brand Dijon Mustard - 12 oz sqz | GIANT</t>
  </si>
  <si>
    <t>Extra Large Vine Ripe Tomatoes - 1 ea | GIANT</t>
  </si>
  <si>
    <t>Cucumber - 1 ea | GIANT</t>
  </si>
  <si>
    <t>Red Onions - 1 ea | GIANT</t>
  </si>
  <si>
    <t>3.5 cups</t>
  </si>
  <si>
    <t>Jonathan's Organic Alfalfa Sprouts - 4 oz pkg | GIANT</t>
  </si>
  <si>
    <t xml:space="preserve">16 oz. </t>
  </si>
  <si>
    <t>baby spinach - Samsclub.com</t>
  </si>
  <si>
    <t>1.5lbs</t>
  </si>
  <si>
    <t>Ombres Cherry Tomatoes On The Vine, 1.5 lbs. - Samsclub.com</t>
  </si>
  <si>
    <t xml:space="preserve">32 oz. </t>
  </si>
  <si>
    <t>President Feta Chunk Cheese, 32 oz. - Samsclub.com</t>
  </si>
  <si>
    <t xml:space="preserve">67.6 fl. oz. </t>
  </si>
  <si>
    <t>Bertolli Extra Light Olive Oil, 67.6 fl. oz. - Samsclub.com</t>
  </si>
  <si>
    <t>96 oz.</t>
  </si>
  <si>
    <t>Morton Iodized Salt, 64 oz. - Samsclub.com</t>
  </si>
  <si>
    <t xml:space="preserve">48 oz. </t>
  </si>
  <si>
    <t>Member's Mark Minced Garlic, 48 oz. - Samsclub.com</t>
  </si>
  <si>
    <t>6 lbs</t>
  </si>
  <si>
    <t>Barilla Pasta Rotini &amp; Farfalle, Variety Pack, 1 lb., 6 pk. - Samsclub.com</t>
  </si>
  <si>
    <t xml:space="preserve">160 oz. </t>
  </si>
  <si>
    <t>Quaker Old Fashioned Oats, 160 oz. - Samsclub.com</t>
  </si>
  <si>
    <t>Member's Mark Nonfat Plain Greek Yogurt, 48 oz. - Samsclub.com</t>
  </si>
  <si>
    <t>59 fl. oz.</t>
  </si>
  <si>
    <t>Members Mark 2% Ultra Filtered Milk, 59 fl. oz. - Samsclub.com</t>
  </si>
  <si>
    <t>N/A</t>
  </si>
  <si>
    <t>2 lbs.</t>
  </si>
  <si>
    <t>Strawberries, 2 lbs. - Samsclub.com</t>
  </si>
  <si>
    <t>Member’s Mark Wildflower Pure Premium Honey, 48 oz. - Samsclub.com</t>
  </si>
  <si>
    <t>https://www.samsclub.com/ip/La-Banderita-9-Homestyle-Soft-Taco-Flour-Tortillas-24-ct/13581873501?classType=REGULAR</t>
  </si>
  <si>
    <t>128 tbsp</t>
  </si>
  <si>
    <t>https://www.samsclub.com/ip/Member-s-Mark-Salted-Sweet-Cream-Butter-4-lbs/15365221245?classType=REGULAR&amp;from=/search</t>
  </si>
  <si>
    <t>8 breasts</t>
  </si>
  <si>
    <t>https://www.samsclub.com/ip/Member-s-Mark-Boneless-and-Skinless-Chicken-Breast-priced-per-pound/18999111186?classType=REGULAR&amp;from=/search</t>
  </si>
  <si>
    <t>6 cans</t>
  </si>
  <si>
    <t>https://www.samsclub.com/ip/Bush-s-Black-Beans-15-oz-6-pk/3940010881?classType=REGULAR</t>
  </si>
  <si>
    <t>https://www.samsclub.com/ip/Member-s-Mark-Mild-Cheddar-Shredded-Cheese-16-oz-2-pk/13771120208?classType=REGULAR&amp;from=/search</t>
  </si>
  <si>
    <t>3 lbs</t>
  </si>
  <si>
    <t>https://www.samsclub.com/ip/Member-s-Mark-93-7-Ground-Beef-priced-per-pound/13865573229?classType=REGULAR&amp;from=/search</t>
  </si>
  <si>
    <t>8 cans</t>
  </si>
  <si>
    <t>https://www.samsclub.com/ip/Hunt-s-Fire-Roasted-Diced-Tomatoes-14-5-oz-8-pk/16436162719?classType=REGULAR&amp;from=/search</t>
  </si>
  <si>
    <t>10 packets</t>
  </si>
  <si>
    <t>https://www.samsclub.com/ip/Old-El-Paso-Original-Taco-Seasoning-1-oz-10-pk/13581873768?classType=REGULAR&amp;from=/search</t>
  </si>
  <si>
    <t>https://www.samsclub.com/ip/Bush-s-Dark-Red-Kidney-Beans-16-oz-6-pk/3940010735?classType=REGULAR</t>
  </si>
  <si>
    <t>https://www.samsclub.com/ip/Del-Monte-Golden-Sweet-Whole-Kernel-Corn-15-25-oz-8-pk/13596361849?classType=REGULAR</t>
  </si>
  <si>
    <t>18.125 oz.</t>
  </si>
  <si>
    <t>https://www.samsclub.com/ip/Fritos-The-Original-Corn-Chips-18-125-oz/13575872430?classType=REGULAR&amp;from=/search</t>
  </si>
  <si>
    <t>28 oz.</t>
  </si>
  <si>
    <t>https://www.samsclub.com/ip/Daisy-Brand-Pure-and-Natural-Sour-Cream-14-oz-2-pk/13735720576?classType=REGULAR&amp;from=/search</t>
  </si>
  <si>
    <t>12 lbs.</t>
  </si>
  <si>
    <t>https://www.samsclub.com/ip/Gold-Medal-All-Purpose-Flour-12-lbs/1600050269?classType=REGULAR</t>
  </si>
  <si>
    <t>10lbs.</t>
  </si>
  <si>
    <t>https://www.samsclub.com/ip/Member-s-Mark-Granulated-Sugar-10-lbs/7874221690?classType=REGULAR&amp;from=/search</t>
  </si>
  <si>
    <t xml:space="preserve">44 oz. </t>
  </si>
  <si>
    <t>https://www.samsclub.com/ip/Clabber-Girl-Baking-Powder-22-oz-2-pk/13740309687?classType=REGULAR&amp;from=/search</t>
  </si>
  <si>
    <t>13.5lbs</t>
  </si>
  <si>
    <t>https://www.samsclub.com/ip/Arm-Hammer-Pure-Baking-Soda-13-5-lbs/13960262278?classType=REGULAR&amp;from=/search</t>
  </si>
  <si>
    <t>https://www.samsclub.com/ip/Member-s-Mark-Cage-Free-Grade-A-Large-White-Eggs-2-dozen/13607813672?classType=REGULAR&amp;from=/search</t>
  </si>
  <si>
    <t xml:space="preserve">192 oz. </t>
  </si>
  <si>
    <t>https://www.samsclub.com/ip/Member-s-Mark-Vegetable-Oil-192-oz/13588950739?classType=REGULAR&amp;from=/search</t>
  </si>
  <si>
    <t>14cups</t>
  </si>
  <si>
    <t>https://www.samsclub.com/ip/Iceberg-Lettuce-2-heads/13725751832?classType=REGULAR</t>
  </si>
  <si>
    <t>2.88 / lb</t>
  </si>
  <si>
    <t>24 oz.</t>
  </si>
  <si>
    <t>https://www.samsclub.com/ip/Member-s-Mark-Shredded-Parmesan-Cheese-24-oz/13865573600?classType=REGULAR&amp;from=/search</t>
  </si>
  <si>
    <t>https://www.samsclub.com/ip/Member-s-Mark-Seasoned-Croutons-32-oz/13893856645?classType=REGULAR&amp;from=/search</t>
  </si>
  <si>
    <t>https://www.samsclub.com/ip/Multi-Bell-Sweet-Peppers-6-ct/13617010302?classType=REGULAR&amp;from=/search</t>
  </si>
  <si>
    <t>https://www.samsclub.com/ip/Peri-Sons-Farms-White-Onions-5-lbs/13599213570?classType=REGULAR&amp;from=/search</t>
  </si>
  <si>
    <t xml:space="preserve">224 oz. </t>
  </si>
  <si>
    <t>https://www.samsclub.com/ip/Tuttorosso-Crushed-Tomatoes-with-Basil-28-oz-8-pk/7294075605?classType=REGULAR&amp;from=/search</t>
  </si>
  <si>
    <t xml:space="preserve">96 fl. oz. </t>
  </si>
  <si>
    <t>https://www.samsclub.com/ip/Swanson-Beef-Broth-32-oz-3-pk/17414851150?classType=REGULAR&amp;from=/search</t>
  </si>
  <si>
    <t>62.5 cups</t>
  </si>
  <si>
    <t>https://www.samsclub.com/ip/Member-s-Mark-Long-Grain-White-Rice-25-lbs/7874220242?classType=REGULAR&amp;from=/search</t>
  </si>
  <si>
    <t>18 oz.</t>
  </si>
  <si>
    <t>https://www.samsclub.com/ip/Member-s-Mark-Spanish-Style-Paprika-18-oz/13594550259?classType=REGULAR&amp;from=/search</t>
  </si>
  <si>
    <t>5.5 oz.</t>
  </si>
  <si>
    <t>https://www.samsclub.com/ip/Member-s-Mark-Oregano-5-5-oz/13599561333?classType=REGULAR&amp;from=/search</t>
  </si>
  <si>
    <t>13.5 oz.</t>
  </si>
  <si>
    <t>https://www.samsclub.com/ip/Member-s-Mark-Crushed-Red-Pepper-13-5-oz/13614254893?classType=REGULAR&amp;from=/search</t>
  </si>
  <si>
    <t>25 cups</t>
  </si>
  <si>
    <t>https://www.samsclub.com/ip/Vigo-Italian-Style-Bread-Crumbs-5-lbs/13803520339?classType=REGULAR&amp;from=/search</t>
  </si>
  <si>
    <t>https://www.samsclub.com/ip/Avocados-5-ct/13586650560?classType=REGULAR&amp;from=/search</t>
  </si>
  <si>
    <t>https://www.samsclub.com/ip/Member-s-Mark-Mexican-Style-Finely-Shredded-Cheese-2-pk/13610570085?classType=REGULAR&amp;from=/search</t>
  </si>
  <si>
    <t>https://www.samsclub.com/ip/Nature-s-Own-Perfectly-Crafted-Thick-Sliced-Sourdough-Bread-22-oz/18605955761?classType=REGULAR&amp;from=/search</t>
  </si>
  <si>
    <t>42 slices</t>
  </si>
  <si>
    <t>https://www.samsclub.com/ip/Member-s-Mark-Sliced-Colby-Jack-Cheese-2-lbs/13612565305?classType=REGULAR&amp;from=/search</t>
  </si>
  <si>
    <t>180 tsp</t>
  </si>
  <si>
    <t>https://www.samsclub.com/ip/Kraft-Real-Mayo-Mayonnaise-30-fl-oz-jars-2-pk/2100004948?classType=REGULAR&amp;from=/search</t>
  </si>
  <si>
    <t>https://www.samsclub.com/ip/French-s-100-Natural-Classic-Yellow-Mustard-30-oz-2-pk/4150081071?classType=REGULAR&amp;from=/search</t>
  </si>
  <si>
    <t>14 cups</t>
  </si>
  <si>
    <t>3lbs.</t>
  </si>
  <si>
    <t>https://www.samsclub.com/ip/Tomatoes-on-the-Vine-3-lbs/13595863391?classType=REGULAR&amp;from=/search</t>
  </si>
  <si>
    <t>3ct.</t>
  </si>
  <si>
    <t>https://www.samsclub.com/ip/Seedless-English-Cucumbers-3-ct/13589450722?classType=REGULAR&amp;from=/search</t>
  </si>
  <si>
    <t>6 lbs.</t>
  </si>
  <si>
    <t>https://www.samsclub.com/ip/Tanimura-and-Antle-Sweet-Italian-Red-Onions-6-lbs/13580274076?classType=REGULAR&amp;from=/search</t>
  </si>
  <si>
    <t>https://www.samsclub.com/ip/Organic-Brussels-Sprouts-2-lbs/13780816747?classType=REGULAR&amp;from=/search</t>
  </si>
  <si>
    <t>1 container</t>
  </si>
  <si>
    <t>https://www.target.com/p/premium-cherry-tomatoes-10oz-good-38-gather-8482-packaging-may-vary/-/A-82667108#lnk=sametab</t>
  </si>
  <si>
    <t>https://www.target.com/p/feta-cheese-good-gather/-/A-95143272?preselect=88076221#lnk=sametab</t>
  </si>
  <si>
    <t>33.8 tbsp</t>
  </si>
  <si>
    <t>https://www.target.com/p/extra-virgin-olive-oil-good-gather/-/A-89409909?preselect=77643078#lnk=sametab</t>
  </si>
  <si>
    <t>https://www.target.com/p/salt-38-pepper-shakers-5oz-good-38-gather-8482/-/A-77588365#lnk=sametab</t>
  </si>
  <si>
    <t>https://www.target.com/p/spice-world-minced-garlic-8oz/-/A-13556562#lnk=sametab</t>
  </si>
  <si>
    <t>https://www.target.com/p/rotini-16oz-good-38-gather-8482/-/A-78779157#lnk=sametab</t>
  </si>
  <si>
    <t>https://www.target.com/p/quaker-oats-old-fashioned-oats-42oz/-/A-13331320#lnk=sametab</t>
  </si>
  <si>
    <t>32oz</t>
  </si>
  <si>
    <t>https://www.target.com/p/chobani-whole-milk-plain-greek-yogurt-32oz/-/A-15242876#lnk=sametab</t>
  </si>
  <si>
    <t xml:space="preserve"> 8 cup</t>
  </si>
  <si>
    <t>https://www.target.com/p/milk-good-gather/-/A-94602358?preselect=12925351#lnk=sametab</t>
  </si>
  <si>
    <t>https://www.target.com/p/navitas-organics-vegan-chia-seeds-8oz/-/A-15317967#lnk=sametab</t>
  </si>
  <si>
    <t>3 cup</t>
  </si>
  <si>
    <t>https://www.target.com/p/strawberries-1lb/-/A-13208903#lnk=sametab</t>
  </si>
  <si>
    <t>https://www.target.com/p/organic-raw-unfiltered-pure-honey-12oz-good-38-gather-8482/-/A-54436263#lnk=sametab</t>
  </si>
  <si>
    <t>https://www.target.com/p/mission-burrito-size-flour-tortillas-20oz-8ct/-/A-13101055#lnk=sametab</t>
  </si>
  <si>
    <t>https://www.target.com/p/butter-1lb-good-gather/-/A-94800768?preselect=80796339#lnk=sametab</t>
  </si>
  <si>
    <t>https://www.target.com/p/boneless-skinless-chicken-breast-1-5-3-2lbs-price-per-lb-good-38-gather-8482/-/A-52205815#lnk=sametab</t>
  </si>
  <si>
    <t>https://www.target.com/p/goya-black-beans-15-5oz/-/A-14771988#lnk=sametab</t>
  </si>
  <si>
    <t>https://www.target.com/p/shredded-cheese-good-gather/-/A-95161102?preselect=54337105#lnk=sametab</t>
  </si>
  <si>
    <t>https://www.target.com/p/all-natural-93-7-ground-beef-good-gather/-/A-94935670?preselect=13288296#lnk=sametab</t>
  </si>
  <si>
    <t>https://www.target.com/p/yellow-onion-each/-/A-13474244#lnk=sametab</t>
  </si>
  <si>
    <t>https://www.target.com/p/muir-glen-organic-fire-roasted-diced-tomatoes/-/A-94669615?preselect=13032003#lnk=sametab</t>
  </si>
  <si>
    <t>https://www.target.com/p/old-el-paso-taco-seasoning-mix-original-1oz/-/A-13015071#lnk=sametab</t>
  </si>
  <si>
    <t>https://www.target.com/p/bush-39-s-dark-red-kidney-beans-16oz/-/A-13593955#lnk=sametab</t>
  </si>
  <si>
    <t>https://www.target.com/p/golden-sweet-whole-kernel-corn-15-25oz-good-38-gather-8482/-/A-79466788#lnk=sametab</t>
  </si>
  <si>
    <t>2 8 oz. bag</t>
  </si>
  <si>
    <t>https://www.target.com/p/fritos-original-corn-chips-9-25oz/-/A-12991608#lnk=sametab</t>
  </si>
  <si>
    <t>16 oz.</t>
  </si>
  <si>
    <t>https://www.target.com/p/sour-cream-16oz-good-38-gather-8482/-/A-79556010#lnk=sametab</t>
  </si>
  <si>
    <t>17.5 cups</t>
  </si>
  <si>
    <t>https://www.target.com/p/whole-wheat-flour-5lb-good-38-gather-8482/-/A-78206460#lnk=sametab</t>
  </si>
  <si>
    <t>144 tbsp</t>
  </si>
  <si>
    <t>https://www.target.com/p/granulated-sugar-4lbs-good-38-gather-8482/-/A-78471310#lnk=sametab</t>
  </si>
  <si>
    <t>48tsp</t>
  </si>
  <si>
    <t>https://www.target.com/p/clabber-girl-gluten-free-double-acting-baking-powder-8-1oz/-/A-14770673#lnk=sametab</t>
  </si>
  <si>
    <t>5 tsp</t>
  </si>
  <si>
    <t>https://www.target.com/p/arm-38-hammer-pure-baking-soda-1lb/-/A-15133726#lnk=sametab</t>
  </si>
  <si>
    <t>Buttermilk(Milk)</t>
  </si>
  <si>
    <t>8 cups</t>
  </si>
  <si>
    <t>https://www.target.com/p/cage-free-fresh-grade-a-large-brown-eggs-12ct-good-38-gather-8482/-/A-14662561#lnk=sametab</t>
  </si>
  <si>
    <t>48 tbsp</t>
  </si>
  <si>
    <t>https://www.target.com/p/vegetable-oil-good-gather/-/A-89467834?preselect=78376314#lnk=sametab</t>
  </si>
  <si>
    <t>https://www.target.com/p/shredded-romaine-lettuce-8oz-good-38-gather-8482/-/A-79858162#lnk=sametab</t>
  </si>
  <si>
    <t>https://www.target.com/p/parmesan-cheese-good-gather/-/A-95138779?preselect=54337106#lnk=sametab</t>
  </si>
  <si>
    <t>20 servings</t>
  </si>
  <si>
    <t>https://www.target.com/p/new-york-bakery-the-original-texas-toast-seasoned-croutons-5oz/-/A-13475919#lnk=sametab</t>
  </si>
  <si>
    <t>16 fl. oz</t>
  </si>
  <si>
    <t>https://www.target.com/p/ken-39-s-steak-house-creamy-caesar-salad-dressing-16-fl-oz/-/A-14775008#lnk=sametab</t>
  </si>
  <si>
    <t>https://www.target.com/p/tri-colored-bell-peppers-16oz-3ct-good-38-gather-8482-packaging-may-vary/-/A-78832378#lnk=sametab</t>
  </si>
  <si>
    <t>https://www.target.com/p/white-onion-each/-/A-14917361#lnk=sametab</t>
  </si>
  <si>
    <t>https://www.target.com/p/muir-glen-organic-gluten-free-crushed-fire-roasted-tomatoes-14-5oz/-/A-79586106#lnk=sametab</t>
  </si>
  <si>
    <t>32 oz.</t>
  </si>
  <si>
    <t>https://www.target.com/p/broth-good-gather/-/A-95174386?preselect=54581340#lnk=sametab</t>
  </si>
  <si>
    <t>https://www.target.com/p/enriched-long-grain-white-rice-good-gather/-/A-89229583?preselect=54602335#lnk=sametab</t>
  </si>
  <si>
    <t>12 tsp</t>
  </si>
  <si>
    <t>https://www.target.com/p/ground-paprika-2-12oz-good-38-gather-8482/-/A-77587875#lnk=sametab</t>
  </si>
  <si>
    <t>https://www.target.com/p/oregano-leaves-0-75oz-good-38-gather-8482/-/A-77588051#lnk=sametab</t>
  </si>
  <si>
    <t xml:space="preserve">12 tsp </t>
  </si>
  <si>
    <t>https://www.target.com/p/crushed-red-pepper-1-5oz-good-38-gather-8482/-/A-77584991#lnk=sametab</t>
  </si>
  <si>
    <t>3.25 cups</t>
  </si>
  <si>
    <t>https://www.target.com/p/progresso-italian-style-bread-crumbs-15oz/-/A-12935586#lnk=sametab</t>
  </si>
  <si>
    <t>https://www.target.com/p/avocado-each/-/A-47095644#lnk=sametab</t>
  </si>
  <si>
    <t>https://www.target.com/p/shredded-cheese-good-gather/-/A-95161102?preselect=54337113#lnk=sametab</t>
  </si>
  <si>
    <t>https://www.target.com/p/sliced-sourdough-bread-17oz-favorite-day-8482/-/A-14992707#lnk=sametab</t>
  </si>
  <si>
    <t>https://www.target.com/p/deli-sliced-cheese-good-gather/-/A-95138096?preselect=54340560#lnk=sametab</t>
  </si>
  <si>
    <t>https://www.target.com/p/best-foods-real-mayonnaise/-/A-91200392?preselect=13027762#lnk=sametab</t>
  </si>
  <si>
    <t>https://www.target.com/p/dijon-mustard-12oz-market-pantry-8482/-/A-14766261#lnk=sametab</t>
  </si>
  <si>
    <t>2 tomatoes</t>
  </si>
  <si>
    <t>https://www.target.com/p/beefsteak-tomatoes-13oz-2ct-good-38-gather-8482-packaging-may-vary/-/A-82628083#lnk=sametab</t>
  </si>
  <si>
    <t>https://www.target.com/p/english-cucumber-each/-/A-13219631#lnk=sametab</t>
  </si>
  <si>
    <t>https://www.target.com/p/red-onion-each/-/A-14917313#lnk=sametab</t>
  </si>
  <si>
    <t>5oz</t>
  </si>
  <si>
    <t>Organic Baby Spinach, 5 oz</t>
  </si>
  <si>
    <t>10oz</t>
  </si>
  <si>
    <t>Grape Tomatoes 10-oz</t>
  </si>
  <si>
    <t>Emporium Selection Traditional Feta Cheese Block 8-oz</t>
  </si>
  <si>
    <t>16.9 oz (34 tbsp)</t>
  </si>
  <si>
    <t>https://www.aldi.us/product/carlini-pure-olive-oil-16-9-fl-oz-0000000000000192</t>
  </si>
  <si>
    <t>26 oz salt, 3 oz pep</t>
  </si>
  <si>
    <t xml:space="preserve">https://www.aldi.us/product/stonemill-iodized-salt-26-oz-0000000000001821 </t>
  </si>
  <si>
    <t>https://www.aldi.us/product/stonemill-ground-black-pepper-3-oz-0000000000001058</t>
  </si>
  <si>
    <t>8oz</t>
  </si>
  <si>
    <t>https://www.aldi.us/product/stonemill-minced-garlic-in-water-8-oz-0000000000001929</t>
  </si>
  <si>
    <t>16oz</t>
  </si>
  <si>
    <t>https://www.aldi.us/product/simply-nature-organic-linguine-1-lb-0000000000001535</t>
  </si>
  <si>
    <t>42oz (5.25 cups)</t>
  </si>
  <si>
    <t>https://www.aldi.us/product/millville-old-fashioned-rolled-oats-42-oz-0000000000001533</t>
  </si>
  <si>
    <t>https://www.aldi.us/product/friendly-farms-nonfat-plain-greek-yogurt-32-oz-0000000000000020</t>
  </si>
  <si>
    <t>https://www.aldi.us/product/friendly-farms-2-milk-64-fl-oz-0000000000001476</t>
  </si>
  <si>
    <t>https://www.aldi.us/product/simply-nature-chia-seeds-12-oz-0000000000000605</t>
  </si>
  <si>
    <t>1lb (3 cups)</t>
  </si>
  <si>
    <t>https://www.aldi.us/product/strawberries-1-lb-0000000000003798</t>
  </si>
  <si>
    <t>https://www.aldi.us/product/berryhill-honey-bear-12-oz-0000000000001030</t>
  </si>
  <si>
    <t>https://www.aldi.us/product/pueblo-lindo-large-burrito-flour-tortillas-8-count-0000000000002386</t>
  </si>
  <si>
    <t>https://www.aldi.us/product/countryside-creamery-unsalted-butter-sticks-1-lb-0000000000001861</t>
  </si>
  <si>
    <t>https://www.aldi.us/product/simply-nature-organic-chicken-breasts-per-lb-0000000000008054</t>
  </si>
  <si>
    <t>https://www.aldi.us/product/black-beans-15-5-oz-can-0000000000001392</t>
  </si>
  <si>
    <t>https://www.aldi.us/product/happy-farms-thick-cut-shredded-yellow-cheddar-cheese-11-oz-0000000000009398</t>
  </si>
  <si>
    <t>https://www.aldi.us/product/simply-nature-organic-grass-fed-85-lean-ground-beef-1-lb-0000000000001500</t>
  </si>
  <si>
    <t>https://www.aldi.us/product/yellow-onions-3-lb-0000000000004002</t>
  </si>
  <si>
    <t>https://www.aldi.us/product/casa-mamita-taco-seasoning-mix-1-oz-0000000000001322</t>
  </si>
  <si>
    <t>https://www.aldi.us/product/dakota-s-pride-canned-dark-red-kidney-beans-15-5-oz-0000000000002679</t>
  </si>
  <si>
    <t>https://www.aldi.us/product/happy-harvest-canned-whole-kernel-golden-sweet-corn-15-25-oz-0000000000001645</t>
  </si>
  <si>
    <t>9.25 oz</t>
  </si>
  <si>
    <t>https://www.aldi.us/product/clancy-s-corn-chips-9-25-oz-0000000000001790</t>
  </si>
  <si>
    <t>https://www.aldi.us/product/friendly-farms-sour-cream-16-oz-0000000000002088</t>
  </si>
  <si>
    <t>5lb</t>
  </si>
  <si>
    <t>https://www.aldi.us/product/baker-s-corner-all-purpose-flour-5-lb-0000000000001812</t>
  </si>
  <si>
    <t>4lb</t>
  </si>
  <si>
    <t>https://www.aldi.us/product/baker-s-corner-granulated-sugar-4-lb-0000000000001893</t>
  </si>
  <si>
    <t>8.1 oz</t>
  </si>
  <si>
    <t>https://www.aldi.us/results?q=baking+powder</t>
  </si>
  <si>
    <t>https://www.aldi.us/product/baker-s-corner-baking-soda-16-oz-0000000000001901</t>
  </si>
  <si>
    <t xml:space="preserve">26 oz  </t>
  </si>
  <si>
    <t>NONE</t>
  </si>
  <si>
    <t>https://www.aldi.us/product/goldhen-grade-a-large-white-eggs-1-dozen-0000000000001719</t>
  </si>
  <si>
    <t>48oz</t>
  </si>
  <si>
    <t>https://www.aldi.us/product/carlini-pure-vegetable-oil-48-fl-oz-0000000000001136</t>
  </si>
  <si>
    <t>3 Hearts</t>
  </si>
  <si>
    <t>https://www.aldi.us/product/romaine-lettuce-hearts-3-count-0000000000003557</t>
  </si>
  <si>
    <t>https://www.aldi.us/product/emporium-selection-shredded-parmesan-cheese-5-oz-0000000000001522</t>
  </si>
  <si>
    <t>https://www.aldi.us/product/tuscan-garden-caesar-croutons-5-oz-0000000000001342</t>
  </si>
  <si>
    <t>https://www.aldi.us/product/tuscan-garden-classic-caesar-dressing-16-fl-oz-0000000000001910</t>
  </si>
  <si>
    <t>https://www.aldi.us/product/multi-colored-peppers-3-count-0000000000004006</t>
  </si>
  <si>
    <t>same as yellow onion</t>
  </si>
  <si>
    <t>28oz</t>
  </si>
  <si>
    <t>https://www.aldi.us/product/happy-harvest-crushed-tomatoes-28-oz-0000000000001422</t>
  </si>
  <si>
    <t>4 cup</t>
  </si>
  <si>
    <t>https://www.aldi.us/product/chef-s-cupboard-fat-free-beef-broth-32-oz-0000000000000092</t>
  </si>
  <si>
    <t>9 cups</t>
  </si>
  <si>
    <t>https://www.aldi.us/product/earthly-grains-long-grain-white-rice-3-lb-0000000000001374</t>
  </si>
  <si>
    <t>13 tsp</t>
  </si>
  <si>
    <t>https://www.aldi.us/product/stonemill-paprika-2-12-oz-0000000000002029</t>
  </si>
  <si>
    <t>https://www.aldi.us/product/stonemill-oregano-leaves-0-75-oz-0000000000000184</t>
  </si>
  <si>
    <t>10 tsp</t>
  </si>
  <si>
    <t>https://www.aldi.us/product/stonemill-crushed-red-pepper-1-5-oz-0000000000002495</t>
  </si>
  <si>
    <t>3.5 cup</t>
  </si>
  <si>
    <t>https://www.aldi.us/product/chef-s-cupboard-plain-breadcrumbs-15-oz-0000000000000730</t>
  </si>
  <si>
    <t>1 avocado</t>
  </si>
  <si>
    <t>https://www.aldi.us/product/large-avocado-each-0000000000005785</t>
  </si>
  <si>
    <t>https://www.aldi.us/product/happy-farms-shredded-mexican-cheese-12-oz-0000000000001908</t>
  </si>
  <si>
    <t>https://www.aldi.us/product/specially-selected-sliced-sourdough-round-24-oz-0000000000002122</t>
  </si>
  <si>
    <t>11 slices</t>
  </si>
  <si>
    <t>https://www.aldi.us/product/happy-farms-deli-sliced-colby-jack-cheese-7-5-oz-0000000000001801</t>
  </si>
  <si>
    <t>https://www.aldi.us/product/burman-s-real-mayonnaise-30-fl-oz-0000000000001246</t>
  </si>
  <si>
    <t>72 tsp</t>
  </si>
  <si>
    <t>https://www.aldi.us/product/burman-s-dijon-mustard-12-oz-0000000000001527</t>
  </si>
  <si>
    <t>1 tomato</t>
  </si>
  <si>
    <t>https://www.aldi.us/product/roma-tomatoes-per-lb-0000000000005615</t>
  </si>
  <si>
    <t>1 cucumber</t>
  </si>
  <si>
    <t>https://www.aldi.us/product/fresh-cucumber-ea-0000000000003596</t>
  </si>
  <si>
    <t>https://www.aldi.us/product/red-onions-2-lb-0000000000003996</t>
  </si>
  <si>
    <t>Marketside Fresh Baby Spinach 6-oz Bag Fresh</t>
  </si>
  <si>
    <t>1 pint</t>
  </si>
  <si>
    <t>Sunset Angel Sweet Tomatoes 1-Pint Package Fresh</t>
  </si>
  <si>
    <t>President All Natural Feta Cheese Block 8-oz Refrigerated</t>
  </si>
  <si>
    <t>34 Tbsp</t>
  </si>
  <si>
    <t>Great Value Classic Olive Oil 17-fl-oz</t>
  </si>
  <si>
    <t>1.5g</t>
  </si>
  <si>
    <t>Great Value Black Pepper Iodized Salt 5 25-oz</t>
  </si>
  <si>
    <t>7.33 Tbsp</t>
  </si>
  <si>
    <t>Spice World Minced Garlic Jar 4.5-oz</t>
  </si>
  <si>
    <t>Great Value Linguine 16-oz</t>
  </si>
  <si>
    <t>18oz</t>
  </si>
  <si>
    <t>Great Value Instant Old Fashioned Oats Tube 18-oz</t>
  </si>
  <si>
    <t>5.3oz</t>
  </si>
  <si>
    <t>Great Value Greek Vanilla Nonfat Yogurt 5.3-oz</t>
  </si>
  <si>
    <t>Gallikers Fresh 2 Reduced Fat Milk Natural Flavor Pint Plastic Bottle 16-fl-oz</t>
  </si>
  <si>
    <t xml:space="preserve">Black Chia Seeds 8-Ounces </t>
  </si>
  <si>
    <t>8.8oz (2 cups)</t>
  </si>
  <si>
    <t>Fresh Strawberries 8.8oz Container</t>
  </si>
  <si>
    <t>Great Value Honey 12-oz Plastic Bear</t>
  </si>
  <si>
    <t>8 count</t>
  </si>
  <si>
    <t>Great Value Burrito Flour Tortillas 20-oz 8-Count</t>
  </si>
  <si>
    <t>16 Tbsp</t>
  </si>
  <si>
    <t>Land-O-Lakes Salted Butter Half Sticks 4 Half Butter Sticks 8-oz Pack</t>
  </si>
  <si>
    <t>3 breasts</t>
  </si>
  <si>
    <t>Perdue No Antibiotics Ever Fresh Boneless Skinless Chicken Breast</t>
  </si>
  <si>
    <t>Great Value Black Beans 15-oz Can</t>
  </si>
  <si>
    <t>Great Value Finely Shredded Sharp Cheddar Cheese 8-oz</t>
  </si>
  <si>
    <t>Marketside Grass Fed Ground Beef 80 Lean 20 Fat 1-lb</t>
  </si>
  <si>
    <t>Fresh Whole Yellow Onion Each</t>
  </si>
  <si>
    <t>Great Value Petite Diced Tomatoes in Tomato Juice 14.5-oz</t>
  </si>
  <si>
    <t>McCormick Mild Taco Seasoning Mix, 1.0 oz Packet</t>
  </si>
  <si>
    <t>Great Value Dark Red Kidney Beans 15.5-oz</t>
  </si>
  <si>
    <t>Great Value Golden Sweet Whole Kernel Corn 15-Oz</t>
  </si>
  <si>
    <t>Fritos Regular Corn Chips 9.25-oz Single Bag</t>
  </si>
  <si>
    <t>1 small tub (8oz)</t>
  </si>
  <si>
    <t>Great Value All Natural Sour Cream, 8 oz</t>
  </si>
  <si>
    <t>King Arthur Baking Company Non-GMO Project Verified, Certified Kosher 100% Whole Grain Whole Wheat Flour, 5 lb Bag</t>
  </si>
  <si>
    <t>38 Tbsp</t>
  </si>
  <si>
    <t>Domino Premium Pure Cane Granulated Sugar, 1 lb Box</t>
  </si>
  <si>
    <t>Great Value Double Acting Baking Powder, 8.1 oz</t>
  </si>
  <si>
    <t>95 tsp</t>
  </si>
  <si>
    <t>Great Value Baking Soda, 1 lb</t>
  </si>
  <si>
    <t>Galliker's Fresh Cultured Low Fat Buttermilk, Quart, Plastic Bottle, 32 fl oz</t>
  </si>
  <si>
    <t>Great Value Large White Eggs, 6 Count</t>
  </si>
  <si>
    <t>32 Tbsp</t>
  </si>
  <si>
    <t>Crisco Pure Vegetable Cooking Oil, 16 fl oz</t>
  </si>
  <si>
    <t>5.25 cups</t>
  </si>
  <si>
    <t>Marketside Hearts of Romaine Salad, 10 oz Bag</t>
  </si>
  <si>
    <t>2 lbs</t>
  </si>
  <si>
    <t>Great Value Parmesan Finely Shredded Cheese, 6 oz Bag</t>
  </si>
  <si>
    <t>Great Value Seasoned Croutons, Baked and Seasoned, 5 oz Resealable Bag</t>
  </si>
  <si>
    <t>Great Value Creamy Caesar Salad Dressing &amp; Dip, 16 fl oz</t>
  </si>
  <si>
    <t>Fresh Produce Whole Color Bell Peppers, 3 Count Bag</t>
  </si>
  <si>
    <t>Fresh Whole White Onions, Each</t>
  </si>
  <si>
    <t>Furmano's Crushed Tomatoes, 15oz, Can</t>
  </si>
  <si>
    <t>Great Value Gluten-Free Beef Broth, 32 oz Carton, Shelf-Stable</t>
  </si>
  <si>
    <t>Great Value Long Grain Enriched Rice, 16 oz</t>
  </si>
  <si>
    <t>18 teaspoons</t>
  </si>
  <si>
    <t>Great Value Paprika, 2.5 oz</t>
  </si>
  <si>
    <t>Great Value Oregano Leaves, 0.87 oz</t>
  </si>
  <si>
    <t>24 tsp</t>
  </si>
  <si>
    <t>Great Value Crushed Red Pepper, 1.75 oz</t>
  </si>
  <si>
    <t>3.75 cups</t>
  </si>
  <si>
    <t>Great Value Italian Style Bread Crumbs, 15 oz</t>
  </si>
  <si>
    <t>Fresh Hass Avocados, Each</t>
  </si>
  <si>
    <t>Great Value Fiesta Blend Finely Shredded Cheese, 8 oz Bag</t>
  </si>
  <si>
    <t>Sara Lee Sourdough Bread, Half Loaf, 12 oz, Bread, Bag</t>
  </si>
  <si>
    <t>16 slices</t>
  </si>
  <si>
    <t>Great Value Individually Plastic Wrapped Singles American Cheese Product, 12 oz, 16 Slices</t>
  </si>
  <si>
    <t>60 tsp</t>
  </si>
  <si>
    <t>Great Value Mayonnaise, 15 fl oz</t>
  </si>
  <si>
    <t>Great Value Dijon Mustard, 12 oz</t>
  </si>
  <si>
    <t>Fresh Roma Tomato, Each</t>
  </si>
  <si>
    <t>Fresh Cucumber, Each</t>
  </si>
  <si>
    <t>Fresh Whole Red Onion, Each</t>
  </si>
  <si>
    <t>200.0kcal</t>
  </si>
  <si>
    <t>2.0g</t>
  </si>
  <si>
    <t>400.0mg</t>
  </si>
  <si>
    <t>40.0g</t>
  </si>
  <si>
    <t>8.0g</t>
  </si>
  <si>
    <t>80.0kcal</t>
  </si>
  <si>
    <t>6.0g</t>
  </si>
  <si>
    <t>200.0mg</t>
  </si>
  <si>
    <t>1.0g</t>
  </si>
  <si>
    <t>33.0kcal</t>
  </si>
  <si>
    <t>3.5g</t>
  </si>
  <si>
    <t>30.0mg</t>
  </si>
  <si>
    <t>0.1g</t>
  </si>
  <si>
    <t>0.0g</t>
  </si>
  <si>
    <t>5.0kcal</t>
  </si>
  <si>
    <t>120.0mg</t>
  </si>
  <si>
    <t>1 piece</t>
  </si>
  <si>
    <t>240.0kcal</t>
  </si>
  <si>
    <t>22.0g</t>
  </si>
  <si>
    <t>11.0mg</t>
  </si>
  <si>
    <t>13.0g</t>
  </si>
  <si>
    <t>3.0g</t>
  </si>
  <si>
    <t>1 leaf</t>
  </si>
  <si>
    <t>4.0kcal</t>
  </si>
  <si>
    <t>2.0mg</t>
  </si>
  <si>
    <t>0.4g</t>
  </si>
  <si>
    <t>8.0kcal</t>
  </si>
  <si>
    <t>1/2 cucumber</t>
  </si>
  <si>
    <t>23.0kcal</t>
  </si>
  <si>
    <t>0.2g</t>
  </si>
  <si>
    <t>3.0mg</t>
  </si>
  <si>
    <t>5.0g</t>
  </si>
  <si>
    <t>1/4 onion</t>
  </si>
  <si>
    <t>11.0kcal</t>
  </si>
  <si>
    <t>1.0mg</t>
  </si>
  <si>
    <t>0.3g</t>
  </si>
  <si>
    <t>0.0kcal</t>
  </si>
  <si>
    <t>2300.0mg</t>
  </si>
  <si>
    <t>576.0kcal</t>
  </si>
  <si>
    <t>45.5g</t>
  </si>
  <si>
    <t>150.0mg</t>
  </si>
  <si>
    <t>39.0g</t>
  </si>
  <si>
    <t>1 cup_dry</t>
  </si>
  <si>
    <t>680.0kcal</t>
  </si>
  <si>
    <t>0.0mg</t>
  </si>
  <si>
    <t>150.0g</t>
  </si>
  <si>
    <t>480.0kcal</t>
  </si>
  <si>
    <t>44.0g</t>
  </si>
  <si>
    <t>22.0mg</t>
  </si>
  <si>
    <t>26.0g</t>
  </si>
  <si>
    <t>455.0kcal</t>
  </si>
  <si>
    <t>37.0g</t>
  </si>
  <si>
    <t>700.0mg</t>
  </si>
  <si>
    <t>28.0g</t>
  </si>
  <si>
    <t>144.0kcal</t>
  </si>
  <si>
    <t>10.0g</t>
  </si>
  <si>
    <t>142.0mg</t>
  </si>
  <si>
    <t>0.8g</t>
  </si>
  <si>
    <t>12.0g</t>
  </si>
  <si>
    <t>600.0kcal</t>
  </si>
  <si>
    <t>16.0g</t>
  </si>
  <si>
    <t>1200.0mg</t>
  </si>
  <si>
    <t>96.0g</t>
  </si>
  <si>
    <t>1tbsp</t>
  </si>
  <si>
    <t>238.0kcal</t>
  </si>
  <si>
    <t>1152.0kcal</t>
  </si>
  <si>
    <t>91.0g</t>
  </si>
  <si>
    <t>300.0mg</t>
  </si>
  <si>
    <t>78.0g</t>
  </si>
  <si>
    <t>1 medium</t>
  </si>
  <si>
    <t>22.5kcal</t>
  </si>
  <si>
    <t>5.5g</t>
  </si>
  <si>
    <t>440.0kcal</t>
  </si>
  <si>
    <t>1000.0mg</t>
  </si>
  <si>
    <t>80.0g</t>
  </si>
  <si>
    <t>15.0g</t>
  </si>
  <si>
    <t>72.0kcal</t>
  </si>
  <si>
    <t>71.0mg</t>
  </si>
  <si>
    <t>30.5kcal</t>
  </si>
  <si>
    <t>1.2g</t>
  </si>
  <si>
    <t>28.8mg</t>
  </si>
  <si>
    <t>119.0kcal</t>
  </si>
  <si>
    <t>14.0g</t>
  </si>
  <si>
    <t>90.0kcal</t>
  </si>
  <si>
    <t>0.9g</t>
  </si>
  <si>
    <t>12.0mg</t>
  </si>
  <si>
    <t>21.0g</t>
  </si>
  <si>
    <t>45.0kcal</t>
  </si>
  <si>
    <t>5.0mg</t>
  </si>
  <si>
    <t>11.0g</t>
  </si>
  <si>
    <t>140.0kcal</t>
  </si>
  <si>
    <t>32.0g</t>
  </si>
  <si>
    <t>7.0g</t>
  </si>
  <si>
    <t>30.0kcal</t>
  </si>
  <si>
    <t>1800.0mg</t>
  </si>
  <si>
    <t>4.0g</t>
  </si>
  <si>
    <t>6.0kcal</t>
  </si>
  <si>
    <t>15.0kcal</t>
  </si>
  <si>
    <t>3.0kcal</t>
  </si>
  <si>
    <t>24.0kcal</t>
  </si>
  <si>
    <t>1.8g</t>
  </si>
  <si>
    <t>27.5kcal</t>
  </si>
  <si>
    <t>100.0mg</t>
  </si>
  <si>
    <t>2.5g</t>
  </si>
  <si>
    <t>186.0kcal</t>
  </si>
  <si>
    <t>495.0mg</t>
  </si>
  <si>
    <t>25.0g</t>
  </si>
  <si>
    <t>320.0kcal</t>
  </si>
  <si>
    <t>34.0g</t>
  </si>
  <si>
    <t>816.0kcal</t>
  </si>
  <si>
    <t>10.0mg</t>
  </si>
  <si>
    <t>172.0g</t>
  </si>
  <si>
    <t>96.0kcal</t>
  </si>
  <si>
    <t>24.0g</t>
  </si>
  <si>
    <t>10.0kcal</t>
  </si>
  <si>
    <t>960.0mg</t>
  </si>
  <si>
    <t>1150.0mg</t>
  </si>
  <si>
    <t>920.0mg</t>
  </si>
  <si>
    <t>56.0g</t>
  </si>
  <si>
    <t>1 can_14.5oz</t>
  </si>
  <si>
    <t>100.0kcal</t>
  </si>
  <si>
    <t>600.0mg</t>
  </si>
  <si>
    <t>2200.0mg</t>
  </si>
  <si>
    <t>18.0g</t>
  </si>
  <si>
    <t>322.5kcal</t>
  </si>
  <si>
    <t>15.0mg</t>
  </si>
  <si>
    <t>55.5g</t>
  </si>
  <si>
    <t>19.5g</t>
  </si>
  <si>
    <t>1 can_15oz</t>
  </si>
  <si>
    <t>280.0kcal</t>
  </si>
  <si>
    <t>800.0mg</t>
  </si>
  <si>
    <t>60.0g</t>
  </si>
  <si>
    <t>702.0mg</t>
  </si>
  <si>
    <t>1 oz</t>
  </si>
  <si>
    <t>1280.0kcal</t>
  </si>
  <si>
    <t>1360.0mg</t>
  </si>
  <si>
    <t>120.0g</t>
  </si>
  <si>
    <t>1680.0kcal</t>
  </si>
  <si>
    <t>3600.0mg</t>
  </si>
  <si>
    <t>280.0g</t>
  </si>
  <si>
    <t>48.0g</t>
  </si>
  <si>
    <t>102.0kcal</t>
  </si>
  <si>
    <t>90.0mg</t>
  </si>
  <si>
    <t>100g_raw</t>
  </si>
  <si>
    <t>5.2g</t>
  </si>
  <si>
    <t>46.0g</t>
  </si>
  <si>
    <t>340.5kcal</t>
  </si>
  <si>
    <t>61.5g</t>
  </si>
  <si>
    <t>22.5g</t>
  </si>
  <si>
    <t>113.8kcal</t>
  </si>
  <si>
    <t>9.2g</t>
  </si>
  <si>
    <t>175.5mg</t>
  </si>
  <si>
    <t>37.5kcal</t>
  </si>
  <si>
    <t>6.8g</t>
  </si>
  <si>
    <t>7.5kcal</t>
  </si>
  <si>
    <t>3.8mg</t>
  </si>
  <si>
    <t>1.1g</t>
  </si>
  <si>
    <t>40.7kcal</t>
  </si>
  <si>
    <t>1.6g</t>
  </si>
  <si>
    <t>38.3mg</t>
  </si>
  <si>
    <t>2.7g</t>
  </si>
  <si>
    <t>6.0mg</t>
  </si>
  <si>
    <t>5.2kcal</t>
  </si>
  <si>
    <t>42.0kcal</t>
  </si>
  <si>
    <t>32.2kcal</t>
  </si>
  <si>
    <t>110.6mg</t>
  </si>
  <si>
    <t>4.1g</t>
  </si>
  <si>
    <t>50.4kcal</t>
  </si>
  <si>
    <t>14.0mg</t>
  </si>
  <si>
    <t>10.9g</t>
  </si>
  <si>
    <t>596.6kcal</t>
  </si>
  <si>
    <t>47.5g</t>
  </si>
  <si>
    <t>2072.4mg</t>
  </si>
  <si>
    <t>9.3g</t>
  </si>
  <si>
    <t>31.6g</t>
  </si>
  <si>
    <t>1oz_dry</t>
  </si>
  <si>
    <t>800.0kcal</t>
  </si>
  <si>
    <t>168.0g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</si>
</sst>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i/>
      <u/>
      <sz val="11"/>
      <color theme="1"/>
      <name val="Calibri"/>
      <family val="2"/>
      <scheme val="minor"/>
    </font>
    <font>
      <i/>
      <u/>
      <sz val="11"/>
      <color rgb="FF000000"/>
      <name val="Calibri"/>
      <scheme val="minor"/>
    </font>
    <font>
      <i/>
      <u/>
      <sz val="11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/>
    <xf numFmtId="0" fontId="4" fillId="2" borderId="1" xfId="0" applyFont="1" applyFill="1" applyBorder="1"/>
    <xf numFmtId="16" fontId="0" fillId="0" borderId="0" xfId="0" applyNumberFormat="1"/>
    <xf numFmtId="12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1"/>
    <xf numFmtId="164" fontId="0" fillId="0" borderId="0" xfId="0" applyNumberFormat="1"/>
    <xf numFmtId="164" fontId="1" fillId="2" borderId="1" xfId="0" applyNumberFormat="1" applyFont="1" applyFill="1" applyBorder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2" borderId="1" xfId="0" applyNumberFormat="1" applyFill="1" applyBorder="1"/>
    <xf numFmtId="44" fontId="0" fillId="0" borderId="0" xfId="0" applyNumberFormat="1"/>
    <xf numFmtId="164" fontId="1" fillId="0" borderId="0" xfId="0" applyNumberFormat="1" applyFont="1"/>
    <xf numFmtId="0" fontId="3" fillId="0" borderId="0" xfId="1" applyFont="1"/>
    <xf numFmtId="0" fontId="8" fillId="0" borderId="0" xfId="1" applyFont="1"/>
    <xf numFmtId="164" fontId="3" fillId="0" borderId="0" xfId="1" applyNumberFormat="1" applyFont="1"/>
    <xf numFmtId="0" fontId="9" fillId="0" borderId="0" xfId="0" applyFont="1"/>
    <xf numFmtId="164" fontId="2" fillId="0" borderId="0" xfId="1" applyNumberForma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cHugh, Taryn" id="{5CBF71FD-127E-443C-B88C-EDAA85022C87}" userId="S::tjm7063@psu.edu::f6f516c5-7d44-4fdb-9918-79c152c1aec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0" dT="2026-02-05T19:33:48.39" personId="{5CBF71FD-127E-443C-B88C-EDAA85022C87}" id="{BD404B1A-268E-475B-9886-535EB74F9BD7}">
    <text xml:space="preserve">Used reg flour
</text>
  </threadedComment>
  <threadedComment ref="G55" dT="2026-02-05T19:33:57.44" personId="{5CBF71FD-127E-443C-B88C-EDAA85022C87}" id="{135E45FD-201B-4ADC-A8CC-9996152209EA}">
    <text>Used 2%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dc.nal.usda.gov/food-details/2708198/nutrients" TargetMode="External"/><Relationship Id="rId18" Type="http://schemas.openxmlformats.org/officeDocument/2006/relationships/hyperlink" Target="https://fdc.nal.usda.gov/food-details/2710819/nutrients" TargetMode="External"/><Relationship Id="rId26" Type="http://schemas.openxmlformats.org/officeDocument/2006/relationships/hyperlink" Target="https://fdc.nal.usda.gov/food-details/173468/nutrients" TargetMode="External"/><Relationship Id="rId39" Type="http://schemas.openxmlformats.org/officeDocument/2006/relationships/hyperlink" Target="https://fdc.nal.usda.gov/food-details/746775/nutrients" TargetMode="External"/><Relationship Id="rId21" Type="http://schemas.openxmlformats.org/officeDocument/2006/relationships/hyperlink" Target="https://fdc.nal.usda.gov/food-details/746778/nutrients" TargetMode="External"/><Relationship Id="rId34" Type="http://schemas.openxmlformats.org/officeDocument/2006/relationships/hyperlink" Target="https://fdc.nal.usda.gov/food-details/171045/nutrients" TargetMode="External"/><Relationship Id="rId7" Type="http://schemas.openxmlformats.org/officeDocument/2006/relationships/hyperlink" Target="https://fdc.nal.usda.gov/food-details/168608/nutrients" TargetMode="External"/><Relationship Id="rId12" Type="http://schemas.openxmlformats.org/officeDocument/2006/relationships/hyperlink" Target="https://fdc.nal.usda.gov/food-details/169361/nutrients" TargetMode="External"/><Relationship Id="rId17" Type="http://schemas.openxmlformats.org/officeDocument/2006/relationships/hyperlink" Target="https://fdc.nal.usda.gov/food-details/169640/nutrients" TargetMode="External"/><Relationship Id="rId25" Type="http://schemas.openxmlformats.org/officeDocument/2006/relationships/hyperlink" Target="https://fdc.nal.usda.gov/food-details/175040/nutrients" TargetMode="External"/><Relationship Id="rId33" Type="http://schemas.openxmlformats.org/officeDocument/2006/relationships/hyperlink" Target="https://fdc.nal.usda.gov/food-details/172752/nutrients" TargetMode="External"/><Relationship Id="rId38" Type="http://schemas.openxmlformats.org/officeDocument/2006/relationships/hyperlink" Target="https://fdc.nal.usda.gov/food-details/169736/nutrients" TargetMode="External"/><Relationship Id="rId2" Type="http://schemas.openxmlformats.org/officeDocument/2006/relationships/hyperlink" Target="https://fdc.nal.usda.gov/food-details/2644285/nutrients" TargetMode="External"/><Relationship Id="rId16" Type="http://schemas.openxmlformats.org/officeDocument/2006/relationships/hyperlink" Target="https://fdc.nal.usda.gov/food-details/2346396/nutrients" TargetMode="External"/><Relationship Id="rId20" Type="http://schemas.openxmlformats.org/officeDocument/2006/relationships/hyperlink" Target="https://fdc.nal.usda.gov/food-details/330137/nutrients" TargetMode="External"/><Relationship Id="rId29" Type="http://schemas.openxmlformats.org/officeDocument/2006/relationships/hyperlink" Target="https://fdc.nal.usda.gov/food-details/172370/nutrients" TargetMode="External"/><Relationship Id="rId1" Type="http://schemas.openxmlformats.org/officeDocument/2006/relationships/hyperlink" Target="https://fdc.nal.usda.gov/food-details/1999632/nutrients" TargetMode="External"/><Relationship Id="rId6" Type="http://schemas.openxmlformats.org/officeDocument/2006/relationships/hyperlink" Target="https://fdc.nal.usda.gov/food-details/173410/nutrients" TargetMode="External"/><Relationship Id="rId11" Type="http://schemas.openxmlformats.org/officeDocument/2006/relationships/hyperlink" Target="https://fdc.nal.usda.gov/food-details/2707383/nutrients" TargetMode="External"/><Relationship Id="rId24" Type="http://schemas.openxmlformats.org/officeDocument/2006/relationships/hyperlink" Target="https://fdc.nal.usda.gov/food-details/172805/nutrients" TargetMode="External"/><Relationship Id="rId32" Type="http://schemas.openxmlformats.org/officeDocument/2006/relationships/hyperlink" Target="https://fdc.nal.usda.gov/food-details/173431/nutrients" TargetMode="External"/><Relationship Id="rId37" Type="http://schemas.openxmlformats.org/officeDocument/2006/relationships/hyperlink" Target="https://fdc.nal.usda.gov/food-details/169736/nutrients" TargetMode="External"/><Relationship Id="rId40" Type="http://schemas.openxmlformats.org/officeDocument/2006/relationships/hyperlink" Target="https://fdc.nal.usda.gov/food-details/170931/nutrients" TargetMode="External"/><Relationship Id="rId5" Type="http://schemas.openxmlformats.org/officeDocument/2006/relationships/hyperlink" Target="https://fdc.nal.usda.gov/food-details/2646170/nutrients" TargetMode="External"/><Relationship Id="rId15" Type="http://schemas.openxmlformats.org/officeDocument/2006/relationships/hyperlink" Target="https://fdc.nal.usda.gov/food-details/1104647/nutrients" TargetMode="External"/><Relationship Id="rId23" Type="http://schemas.openxmlformats.org/officeDocument/2006/relationships/hyperlink" Target="https://fdc.nal.usda.gov/food-details/746784/nutrients" TargetMode="External"/><Relationship Id="rId28" Type="http://schemas.openxmlformats.org/officeDocument/2006/relationships/hyperlink" Target="https://fdc.nal.usda.gov/food-details/748967/nutrients" TargetMode="External"/><Relationship Id="rId36" Type="http://schemas.openxmlformats.org/officeDocument/2006/relationships/hyperlink" Target="https://fdc.nal.usda.gov/food-details/173420/nutrients" TargetMode="External"/><Relationship Id="rId10" Type="http://schemas.openxmlformats.org/officeDocument/2006/relationships/hyperlink" Target="https://fdc.nal.usda.gov/food-details/172243/nutrients" TargetMode="External"/><Relationship Id="rId19" Type="http://schemas.openxmlformats.org/officeDocument/2006/relationships/hyperlink" Target="https://fdc.nal.usda.gov/food-details/2710819/nutrients" TargetMode="External"/><Relationship Id="rId31" Type="http://schemas.openxmlformats.org/officeDocument/2006/relationships/hyperlink" Target="https://fdc.nal.usda.gov/food-details/171534/nutrients" TargetMode="External"/><Relationship Id="rId4" Type="http://schemas.openxmlformats.org/officeDocument/2006/relationships/hyperlink" Target="https://fdc.nal.usda.gov/food-details/167535/nutrients" TargetMode="External"/><Relationship Id="rId9" Type="http://schemas.openxmlformats.org/officeDocument/2006/relationships/hyperlink" Target="https://fdc.nal.usda.gov/food-details/333281/nutrients" TargetMode="External"/><Relationship Id="rId14" Type="http://schemas.openxmlformats.org/officeDocument/2006/relationships/hyperlink" Target="https://fdc.nal.usda.gov/food-details/2346387/nutrients" TargetMode="External"/><Relationship Id="rId22" Type="http://schemas.openxmlformats.org/officeDocument/2006/relationships/hyperlink" Target="https://fdc.nal.usda.gov/food-details/790085/nutrients" TargetMode="External"/><Relationship Id="rId27" Type="http://schemas.openxmlformats.org/officeDocument/2006/relationships/hyperlink" Target="https://fdc.nal.usda.gov/food-details/172225/nutrients" TargetMode="External"/><Relationship Id="rId30" Type="http://schemas.openxmlformats.org/officeDocument/2006/relationships/hyperlink" Target="https://fdc.nal.usda.gov/food-details/169247/nutrients" TargetMode="External"/><Relationship Id="rId35" Type="http://schemas.openxmlformats.org/officeDocument/2006/relationships/hyperlink" Target="https://fdc.nal.usda.gov/food-details/171413/nutrients" TargetMode="External"/><Relationship Id="rId8" Type="http://schemas.openxmlformats.org/officeDocument/2006/relationships/hyperlink" Target="https://fdc.nal.usda.gov/food-details/790646/nutrients" TargetMode="External"/><Relationship Id="rId3" Type="http://schemas.openxmlformats.org/officeDocument/2006/relationships/hyperlink" Target="https://fdc.nal.usda.gov/food-details/328637/nutrient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gmans.com/shop/search?query=old%20fashioned%20oats" TargetMode="External"/><Relationship Id="rId13" Type="http://schemas.openxmlformats.org/officeDocument/2006/relationships/hyperlink" Target="https://www.wegmans.com/shop/search?query=honey" TargetMode="External"/><Relationship Id="rId3" Type="http://schemas.openxmlformats.org/officeDocument/2006/relationships/hyperlink" Target="https://images.wegmans.com/is/image/wegmanscsprod/970171_PrimaryImage?v=ec6443badbcab4e697377e7c75fc0e151649d13a" TargetMode="External"/><Relationship Id="rId7" Type="http://schemas.openxmlformats.org/officeDocument/2006/relationships/hyperlink" Target="https://images.wegmans.com/is/image/wegmanscsprod/48986_PrimaryImage?v=13.1" TargetMode="External"/><Relationship Id="rId12" Type="http://schemas.openxmlformats.org/officeDocument/2006/relationships/hyperlink" Target="https://www.wegmans.com/shop/search?query=strawberries" TargetMode="External"/><Relationship Id="rId2" Type="http://schemas.openxmlformats.org/officeDocument/2006/relationships/hyperlink" Target="https://www.wegmans.com/shop/search?query=cherry%20tomatoes" TargetMode="External"/><Relationship Id="rId1" Type="http://schemas.openxmlformats.org/officeDocument/2006/relationships/hyperlink" Target="https://www.wegmans.com/shop/search?query=baby%20spinach" TargetMode="External"/><Relationship Id="rId6" Type="http://schemas.openxmlformats.org/officeDocument/2006/relationships/hyperlink" Target="https://www.wegmans.com/shop/search?query=minced%20garlic" TargetMode="External"/><Relationship Id="rId11" Type="http://schemas.openxmlformats.org/officeDocument/2006/relationships/hyperlink" Target="https://www.wegmans.com/shop/search?query=chia%20seeds" TargetMode="External"/><Relationship Id="rId5" Type="http://schemas.openxmlformats.org/officeDocument/2006/relationships/hyperlink" Target="https://www.wegmans.com/shop/search?query=salt%20pepper" TargetMode="External"/><Relationship Id="rId15" Type="http://schemas.openxmlformats.org/officeDocument/2006/relationships/hyperlink" Target="https://www.wegmans.com/shop/search?query=butter" TargetMode="External"/><Relationship Id="rId10" Type="http://schemas.openxmlformats.org/officeDocument/2006/relationships/hyperlink" Target="https://www.wegmans.com/shop/search?query=milk" TargetMode="External"/><Relationship Id="rId4" Type="http://schemas.openxmlformats.org/officeDocument/2006/relationships/hyperlink" Target="https://www.wegmans.com/shop/search?query=olive%20oil" TargetMode="External"/><Relationship Id="rId9" Type="http://schemas.openxmlformats.org/officeDocument/2006/relationships/hyperlink" Target="https://www.wegmans.com/shop/search?query=greek%20yogurt" TargetMode="External"/><Relationship Id="rId14" Type="http://schemas.openxmlformats.org/officeDocument/2006/relationships/hyperlink" Target="https://www.wegmans.com/shop/search?query=tortilla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derjoes.com/home/products/pdp/shredded-3-cheese-blend-016541" TargetMode="External"/><Relationship Id="rId18" Type="http://schemas.openxmlformats.org/officeDocument/2006/relationships/hyperlink" Target="https://www.traderjoes.com/home/products/pdp/imported-olive-oil-packed-in-italy-001437" TargetMode="External"/><Relationship Id="rId26" Type="http://schemas.openxmlformats.org/officeDocument/2006/relationships/hyperlink" Target="https://www.traderjoes.com/home/products/pdp/ground-beef-80-lean-20-fat-091082" TargetMode="External"/><Relationship Id="rId39" Type="http://schemas.openxmlformats.org/officeDocument/2006/relationships/hyperlink" Target="https://www.traderjoes.com/home/products/pdp/organic-unbleached-all-purpose-flour-069793" TargetMode="External"/><Relationship Id="rId21" Type="http://schemas.openxmlformats.org/officeDocument/2006/relationships/hyperlink" Target="https://www.traderjoes.com/home/products/pdp/fine-grain-pink-salt-076300,%20https:/www.traderjoes.com/home/products/pdp/organic-ground-black-pepper-068491" TargetMode="External"/><Relationship Id="rId34" Type="http://schemas.openxmlformats.org/officeDocument/2006/relationships/hyperlink" Target="https://www.traderjoes.com/home/products/pdp/jasmine-rice-from-thailand-052252" TargetMode="External"/><Relationship Id="rId42" Type="http://schemas.openxmlformats.org/officeDocument/2006/relationships/hyperlink" Target="https://www.traderjoes.com/home/products/pdp/organic-free-range-boneless-skinless-chicken-breasts-063550" TargetMode="External"/><Relationship Id="rId47" Type="http://schemas.openxmlformats.org/officeDocument/2006/relationships/hyperlink" Target="https://www.traderjoes.com/home/products/pdp/jumbo-yellow-onions-095520" TargetMode="External"/><Relationship Id="rId50" Type="http://schemas.openxmlformats.org/officeDocument/2006/relationships/hyperlink" Target="https://www.traderjoes.com/home/products/pdp/shredded-3-cheese-blend-016541" TargetMode="External"/><Relationship Id="rId55" Type="http://schemas.openxmlformats.org/officeDocument/2006/relationships/hyperlink" Target="https://www.traderjoes.com/home/products/category/condiments-62" TargetMode="External"/><Relationship Id="rId7" Type="http://schemas.openxmlformats.org/officeDocument/2006/relationships/hyperlink" Target="https://www.traderjoes.com/home/products/pdp/oven-toasted-old-fashioned-organic-oats-004856" TargetMode="External"/><Relationship Id="rId2" Type="http://schemas.openxmlformats.org/officeDocument/2006/relationships/hyperlink" Target="https://www.traderjoes.com/home/products/pdp/cherry-tomatoes-on-the-vine-070500" TargetMode="External"/><Relationship Id="rId16" Type="http://schemas.openxmlformats.org/officeDocument/2006/relationships/hyperlink" Target="https://www.traderjoes.com/home/products/pdp/imported-olive-oil-packed-in-italy-001437" TargetMode="External"/><Relationship Id="rId29" Type="http://schemas.openxmlformats.org/officeDocument/2006/relationships/hyperlink" Target="https://www.traderjoes.com/home/products/pdp/taco-seasoning-mix-093089" TargetMode="External"/><Relationship Id="rId11" Type="http://schemas.openxmlformats.org/officeDocument/2006/relationships/hyperlink" Target="https://www.traderjoes.com/home/products/pdp/organic-free-range-boneless-skinless-chicken-breasts-063550" TargetMode="External"/><Relationship Id="rId24" Type="http://schemas.openxmlformats.org/officeDocument/2006/relationships/hyperlink" Target="https://www.traderjoes.com/home/products/pdp/ground-beef-80-lean-20-fat-091082" TargetMode="External"/><Relationship Id="rId32" Type="http://schemas.openxmlformats.org/officeDocument/2006/relationships/hyperlink" Target="https://www.traderjoes.com/home/products/pdp/shredded-3-cheese-blend-016541" TargetMode="External"/><Relationship Id="rId37" Type="http://schemas.openxmlformats.org/officeDocument/2006/relationships/hyperlink" Target="https://www.traderjoes.com/home/products/pdp/pasture-raised-large-brown-eggs-062124" TargetMode="External"/><Relationship Id="rId40" Type="http://schemas.openxmlformats.org/officeDocument/2006/relationships/hyperlink" Target="https://www.traderjoes.com/home/products/pdp/organic-cane-sugar-027042" TargetMode="External"/><Relationship Id="rId45" Type="http://schemas.openxmlformats.org/officeDocument/2006/relationships/hyperlink" Target="https://www.traderjoes.com/home/products/pdp/vegan-caesar-dressing-068174" TargetMode="External"/><Relationship Id="rId53" Type="http://schemas.openxmlformats.org/officeDocument/2006/relationships/hyperlink" Target="https://www.traderjoes.com/home/products/pdp/sliced-provolone-cheese-079681" TargetMode="External"/><Relationship Id="rId58" Type="http://schemas.openxmlformats.org/officeDocument/2006/relationships/hyperlink" Target="https://www.traderjoes.com/home/products/pdp/romaine-hearts-037786" TargetMode="External"/><Relationship Id="rId5" Type="http://schemas.openxmlformats.org/officeDocument/2006/relationships/hyperlink" Target="https://www.traderjoes.com/home/products/pdp/fine-grain-pink-salt-076300,%20https:/www.traderjoes.com/home/products/pdp/organic-ground-black-pepper-068491" TargetMode="External"/><Relationship Id="rId19" Type="http://schemas.openxmlformats.org/officeDocument/2006/relationships/hyperlink" Target="https://www.traderjoes.com/home/products/pdp/fine-grain-pink-salt-076300,%20https:/www.traderjoes.com/home/products/pdp/organic-ground-black-pepper-068491" TargetMode="External"/><Relationship Id="rId4" Type="http://schemas.openxmlformats.org/officeDocument/2006/relationships/hyperlink" Target="https://www.traderjoes.com/home/products/pdp/imported-olive-oil-packed-in-italy-001437" TargetMode="External"/><Relationship Id="rId9" Type="http://schemas.openxmlformats.org/officeDocument/2006/relationships/hyperlink" Target="https://www.traderjoes.com/home/products/pdp/strawberries-2-lb-078515" TargetMode="External"/><Relationship Id="rId14" Type="http://schemas.openxmlformats.org/officeDocument/2006/relationships/hyperlink" Target="https://www.traderjoes.com/home/products/pdp/fine-grain-pink-salt-076300,%20https:/www.traderjoes.com/home/products/pdp/organic-ground-black-pepper-068491" TargetMode="External"/><Relationship Id="rId22" Type="http://schemas.openxmlformats.org/officeDocument/2006/relationships/hyperlink" Target="https://www.traderjoes.com/home/products/pdp/fine-grain-pink-salt-076300,%20https:/www.traderjoes.com/home/products/pdp/organic-ground-black-pepper-068491" TargetMode="External"/><Relationship Id="rId27" Type="http://schemas.openxmlformats.org/officeDocument/2006/relationships/hyperlink" Target="https://www.traderjoes.com/home/products/pdp/ground-beef-80-lean-20-fat-091082" TargetMode="External"/><Relationship Id="rId30" Type="http://schemas.openxmlformats.org/officeDocument/2006/relationships/hyperlink" Target="https://www.traderjoes.com/home/products/pdp/organic-kidney-beans-050264" TargetMode="External"/><Relationship Id="rId35" Type="http://schemas.openxmlformats.org/officeDocument/2006/relationships/hyperlink" Target="https://www.traderjoes.com/home/products/pdp/jasmine-rice-from-thailand-052252" TargetMode="External"/><Relationship Id="rId43" Type="http://schemas.openxmlformats.org/officeDocument/2006/relationships/hyperlink" Target="https://www.traderjoes.com/home/products/pdp/shredded-parmesan-cheese-alternative-070636" TargetMode="External"/><Relationship Id="rId48" Type="http://schemas.openxmlformats.org/officeDocument/2006/relationships/hyperlink" Target="https://www.traderjoes.com/home/products/pdp/jumbo-yellow-onions-095520" TargetMode="External"/><Relationship Id="rId56" Type="http://schemas.openxmlformats.org/officeDocument/2006/relationships/hyperlink" Target="https://www.traderjoes.com/home/products/pdp/avocados-4-count-112550" TargetMode="External"/><Relationship Id="rId8" Type="http://schemas.openxmlformats.org/officeDocument/2006/relationships/hyperlink" Target="https://www.traderjoes.com/home/products/pdp/greek-nonfat-yogurt-plain-086450" TargetMode="External"/><Relationship Id="rId51" Type="http://schemas.openxmlformats.org/officeDocument/2006/relationships/hyperlink" Target="https://www.traderjoes.com/home/products/pdp/sonora-style-flour-tortillas-077519" TargetMode="External"/><Relationship Id="rId3" Type="http://schemas.openxmlformats.org/officeDocument/2006/relationships/hyperlink" Target="https://www.traderjoes.com/home/products/pdp/feta-cheese-079858" TargetMode="External"/><Relationship Id="rId12" Type="http://schemas.openxmlformats.org/officeDocument/2006/relationships/hyperlink" Target="https://www.traderjoes.com/home/products/pdp/black-beans-009636" TargetMode="External"/><Relationship Id="rId17" Type="http://schemas.openxmlformats.org/officeDocument/2006/relationships/hyperlink" Target="https://www.traderjoes.com/home/products/pdp/imported-olive-oil-packed-in-italy-001437" TargetMode="External"/><Relationship Id="rId25" Type="http://schemas.openxmlformats.org/officeDocument/2006/relationships/hyperlink" Target="https://www.traderjoes.com/home/products/pdp/ground-beef-80-lean-20-fat-091082" TargetMode="External"/><Relationship Id="rId33" Type="http://schemas.openxmlformats.org/officeDocument/2006/relationships/hyperlink" Target="https://www.traderjoes.com/home/products/pdp/sour-cream-006223" TargetMode="External"/><Relationship Id="rId38" Type="http://schemas.openxmlformats.org/officeDocument/2006/relationships/hyperlink" Target="https://www.traderjoes.com/home/products/pdp/pasture-raised-large-brown-eggs-062124" TargetMode="External"/><Relationship Id="rId46" Type="http://schemas.openxmlformats.org/officeDocument/2006/relationships/hyperlink" Target="https://www.traderjoes.com/home/products/pdp/organic-tri-color-bell-peppers-095882" TargetMode="External"/><Relationship Id="rId20" Type="http://schemas.openxmlformats.org/officeDocument/2006/relationships/hyperlink" Target="https://www.traderjoes.com/home/products/pdp/fine-grain-pink-salt-076300,%20https:/www.traderjoes.com/home/products/pdp/organic-ground-black-pepper-068491" TargetMode="External"/><Relationship Id="rId41" Type="http://schemas.openxmlformats.org/officeDocument/2006/relationships/hyperlink" Target="https://www.traderjoes.com/home/products/pdp/romaine-hearts-037786" TargetMode="External"/><Relationship Id="rId54" Type="http://schemas.openxmlformats.org/officeDocument/2006/relationships/hyperlink" Target="https://www.traderjoes.com/home/products/pdp/organic-mayonnaise-060932" TargetMode="External"/><Relationship Id="rId1" Type="http://schemas.openxmlformats.org/officeDocument/2006/relationships/hyperlink" Target="https://www.traderjoes.com/home/products/category/veggies-119" TargetMode="External"/><Relationship Id="rId6" Type="http://schemas.openxmlformats.org/officeDocument/2006/relationships/hyperlink" Target="https://www.traderjoes.com/home/products/pdp/organic-fusilli-corti-bucati-pasta-072525" TargetMode="External"/><Relationship Id="rId15" Type="http://schemas.openxmlformats.org/officeDocument/2006/relationships/hyperlink" Target="https://www.traderjoes.com/home/products/pdp/imported-olive-oil-packed-in-italy-001437" TargetMode="External"/><Relationship Id="rId23" Type="http://schemas.openxmlformats.org/officeDocument/2006/relationships/hyperlink" Target="https://www.traderjoes.com/home/products/pdp/fine-grain-pink-salt-076300,%20https:/www.traderjoes.com/home/products/pdp/organic-ground-black-pepper-068491" TargetMode="External"/><Relationship Id="rId28" Type="http://schemas.openxmlformats.org/officeDocument/2006/relationships/hyperlink" Target="https://www.traderjoes.com/home/products/pdp/jumbo-yellow-onions-095520" TargetMode="External"/><Relationship Id="rId36" Type="http://schemas.openxmlformats.org/officeDocument/2006/relationships/hyperlink" Target="https://www.traderjoes.com/home/products/pdp/pasture-raised-large-brown-eggs-062124" TargetMode="External"/><Relationship Id="rId49" Type="http://schemas.openxmlformats.org/officeDocument/2006/relationships/hyperlink" Target="https://www.traderjoes.com/home/products/pdp/organic-bread-crumbs-092978" TargetMode="External"/><Relationship Id="rId57" Type="http://schemas.openxmlformats.org/officeDocument/2006/relationships/hyperlink" Target="https://www.traderjoes.com/home/products/pdp/avocados-4-count-112550" TargetMode="External"/><Relationship Id="rId10" Type="http://schemas.openxmlformats.org/officeDocument/2006/relationships/hyperlink" Target="https://www.traderjoes.com/home/products/pdp/sonora-style-flour-tortillas-077519" TargetMode="External"/><Relationship Id="rId31" Type="http://schemas.openxmlformats.org/officeDocument/2006/relationships/hyperlink" Target="https://www.traderjoes.com/home/products/pdp/whole-kernel-corn-001605" TargetMode="External"/><Relationship Id="rId44" Type="http://schemas.openxmlformats.org/officeDocument/2006/relationships/hyperlink" Target="https://www.traderjoes.com/home/products/pdp/rosemary-croissant-croutons-072051" TargetMode="External"/><Relationship Id="rId52" Type="http://schemas.openxmlformats.org/officeDocument/2006/relationships/hyperlink" Target="https://www.traderjoes.com/home/products/pdp/sourdough-bread-sliced-000152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eismarkets.com/shop/product/weis-by-nature-100-pure-organic-honey/132137" TargetMode="External"/><Relationship Id="rId18" Type="http://schemas.openxmlformats.org/officeDocument/2006/relationships/hyperlink" Target="https://www.weismarkets.com/shop/product/weis-fresh-from-the-field-premium-yellow-onions/2717844" TargetMode="External"/><Relationship Id="rId26" Type="http://schemas.openxmlformats.org/officeDocument/2006/relationships/hyperlink" Target="https://www.weismarkets.com/shop/product/weis-quality-crisp-n-sweet-whole-kernel-golden-corn/132212" TargetMode="External"/><Relationship Id="rId39" Type="http://schemas.openxmlformats.org/officeDocument/2006/relationships/hyperlink" Target="https://www.weismarkets.com/shop/product/bailey-farms-bella-fina-bell-peppers-baby/438859" TargetMode="External"/><Relationship Id="rId21" Type="http://schemas.openxmlformats.org/officeDocument/2006/relationships/hyperlink" Target="https://www.weismarkets.com/shop/product/weis-quality-cheese-sharp-yellow-cheddar-shredded/131587" TargetMode="External"/><Relationship Id="rId34" Type="http://schemas.openxmlformats.org/officeDocument/2006/relationships/hyperlink" Target="https://www.weismarkets.com/shop/product/weis-quality-vegetable-oil/132162" TargetMode="External"/><Relationship Id="rId42" Type="http://schemas.openxmlformats.org/officeDocument/2006/relationships/hyperlink" Target="https://www.weismarkets.com/shop/product/swanson-beef-broth/136712" TargetMode="External"/><Relationship Id="rId47" Type="http://schemas.openxmlformats.org/officeDocument/2006/relationships/hyperlink" Target="https://www.weismarkets.com/shop/product/weis-quality-italian-style-lightly-toasted-bread-crumbs/133101" TargetMode="External"/><Relationship Id="rId50" Type="http://schemas.openxmlformats.org/officeDocument/2006/relationships/hyperlink" Target="https://www.weismarkets.com/shop/product/pepperidge-farm-farmhouse-sourdough-bread/120394" TargetMode="External"/><Relationship Id="rId55" Type="http://schemas.openxmlformats.org/officeDocument/2006/relationships/hyperlink" Target="https://www.weismarkets.com/shop/product/cucumbers/118270" TargetMode="External"/><Relationship Id="rId7" Type="http://schemas.openxmlformats.org/officeDocument/2006/relationships/hyperlink" Target="https://www.weismarkets.com/shop/product/weis-quality-classic-pasta-enriched-macaroni-product-farfalle/132497" TargetMode="External"/><Relationship Id="rId2" Type="http://schemas.openxmlformats.org/officeDocument/2006/relationships/hyperlink" Target="https://www.weismarkets.com/shop/product/sunset-secilia-cherry-tomatoes-on-the-vine-12-oz/3634239" TargetMode="External"/><Relationship Id="rId16" Type="http://schemas.openxmlformats.org/officeDocument/2006/relationships/hyperlink" Target="https://www.weismarkets.com/shop/product/perdue-fresh-cuts-boneless-skinless-chicken-breast-cutlets/2701979" TargetMode="External"/><Relationship Id="rId29" Type="http://schemas.openxmlformats.org/officeDocument/2006/relationships/hyperlink" Target="https://www.weismarkets.com/shop/product/weis-quality-black-beans/132217" TargetMode="External"/><Relationship Id="rId11" Type="http://schemas.openxmlformats.org/officeDocument/2006/relationships/hyperlink" Target="https://www.weismarkets.com/shop/product/strawberries/126011" TargetMode="External"/><Relationship Id="rId24" Type="http://schemas.openxmlformats.org/officeDocument/2006/relationships/hyperlink" Target="https://www.weismarkets.com/shop/product/weis-fresh-from-the-farm-80-lean-ground-beef/147351" TargetMode="External"/><Relationship Id="rId32" Type="http://schemas.openxmlformats.org/officeDocument/2006/relationships/hyperlink" Target="https://www.weismarkets.com/shop/product/weis-quality-buttermilk-cultured/131743" TargetMode="External"/><Relationship Id="rId37" Type="http://schemas.openxmlformats.org/officeDocument/2006/relationships/hyperlink" Target="https://www.weismarkets.com/shop/product/weis-quality-seasoned-restaurant-style-croutons/131850" TargetMode="External"/><Relationship Id="rId40" Type="http://schemas.openxmlformats.org/officeDocument/2006/relationships/hyperlink" Target="https://www.weismarkets.com/shop/product/large-white-onions/118582" TargetMode="External"/><Relationship Id="rId45" Type="http://schemas.openxmlformats.org/officeDocument/2006/relationships/hyperlink" Target="https://www.weismarkets.com/shop/product/weis-quality-oregano-leaves/132682" TargetMode="External"/><Relationship Id="rId53" Type="http://schemas.openxmlformats.org/officeDocument/2006/relationships/hyperlink" Target="https://www.weismarkets.com/shop/product/weis-quality-dijon-mustard/131892" TargetMode="External"/><Relationship Id="rId5" Type="http://schemas.openxmlformats.org/officeDocument/2006/relationships/hyperlink" Target="https://www.weismarkets.com/shop/product/morton-iodized-salt-black-pepper/123548" TargetMode="External"/><Relationship Id="rId19" Type="http://schemas.openxmlformats.org/officeDocument/2006/relationships/hyperlink" Target="https://www.weismarkets.com/shop/product/weis-quality-petite-diced-tomatoes-made-with-sea-salt/132199" TargetMode="External"/><Relationship Id="rId4" Type="http://schemas.openxmlformats.org/officeDocument/2006/relationships/hyperlink" Target="https://www.weismarkets.com/shop/product/pompeian-smooth-extra-virgin-olive-oil/139028" TargetMode="External"/><Relationship Id="rId9" Type="http://schemas.openxmlformats.org/officeDocument/2006/relationships/hyperlink" Target="https://www.weismarkets.com/shop/product/too-good-co-vanilla-low-fat-gluten-free-greek-yogurt/687673" TargetMode="External"/><Relationship Id="rId14" Type="http://schemas.openxmlformats.org/officeDocument/2006/relationships/hyperlink" Target="https://www.weismarkets.com/shop/product/old-el-paso-burritos-flour-tortillas/135421" TargetMode="External"/><Relationship Id="rId22" Type="http://schemas.openxmlformats.org/officeDocument/2006/relationships/hyperlink" Target="https://www.weismarkets.com/shop/product/fritos-corn-chips-the-original/124563" TargetMode="External"/><Relationship Id="rId27" Type="http://schemas.openxmlformats.org/officeDocument/2006/relationships/hyperlink" Target="https://www.weismarkets.com/shop/product/weis-quality-flour-whole-wheat/132652" TargetMode="External"/><Relationship Id="rId30" Type="http://schemas.openxmlformats.org/officeDocument/2006/relationships/hyperlink" Target="https://www.weismarkets.com/shop/product/rumford-baking-powder-reduced-sodium/133540" TargetMode="External"/><Relationship Id="rId35" Type="http://schemas.openxmlformats.org/officeDocument/2006/relationships/hyperlink" Target="https://www.weismarkets.com/shop/product/lettuce-romaine/118573" TargetMode="External"/><Relationship Id="rId43" Type="http://schemas.openxmlformats.org/officeDocument/2006/relationships/hyperlink" Target="https://www.weismarkets.com/shop/product/minute-white-rice-white-rice/121610" TargetMode="External"/><Relationship Id="rId48" Type="http://schemas.openxmlformats.org/officeDocument/2006/relationships/hyperlink" Target="https://www.weismarkets.com/shop/product/medium-hass-avocados/118259" TargetMode="External"/><Relationship Id="rId56" Type="http://schemas.openxmlformats.org/officeDocument/2006/relationships/hyperlink" Target="https://www.weismarkets.com/shop/product/red-onions/118290" TargetMode="External"/><Relationship Id="rId8" Type="http://schemas.openxmlformats.org/officeDocument/2006/relationships/hyperlink" Target="https://www.weismarkets.com/shop/product/weis-quality-100-whole-grain-old-fashioned-oats/132987" TargetMode="External"/><Relationship Id="rId51" Type="http://schemas.openxmlformats.org/officeDocument/2006/relationships/hyperlink" Target="https://www.weismarkets.com/shop/product/kraft-american-cheese-slices/122511" TargetMode="External"/><Relationship Id="rId3" Type="http://schemas.openxmlformats.org/officeDocument/2006/relationships/hyperlink" Target="https://www.weismarkets.com/shop/product/weis-signature-collection-feta-cheese-chunk/131626" TargetMode="External"/><Relationship Id="rId12" Type="http://schemas.openxmlformats.org/officeDocument/2006/relationships/hyperlink" Target="https://www.weismarkets.com/shop/product/carrington-farms-chia-seeds-organic/274266" TargetMode="External"/><Relationship Id="rId17" Type="http://schemas.openxmlformats.org/officeDocument/2006/relationships/hyperlink" Target="https://www.weismarkets.com/shop/product/weis-quality-fancy-shredded-cheddar-jack-cheese/131705" TargetMode="External"/><Relationship Id="rId25" Type="http://schemas.openxmlformats.org/officeDocument/2006/relationships/hyperlink" Target="https://www.weismarkets.com/shop/product/weis-quality-no-salt-added-light-red-kidney-beans/132288" TargetMode="External"/><Relationship Id="rId33" Type="http://schemas.openxmlformats.org/officeDocument/2006/relationships/hyperlink" Target="https://www.weismarkets.com/shop/product/weis-quality-eggs-grade-a-large/131788" TargetMode="External"/><Relationship Id="rId38" Type="http://schemas.openxmlformats.org/officeDocument/2006/relationships/hyperlink" Target="https://www.weismarkets.com/shop/product/weis-quality-dressing-classic-caesar/734811" TargetMode="External"/><Relationship Id="rId46" Type="http://schemas.openxmlformats.org/officeDocument/2006/relationships/hyperlink" Target="https://www.weismarkets.com/shop/product/spice-classics-crushed-red-pepper/502314" TargetMode="External"/><Relationship Id="rId20" Type="http://schemas.openxmlformats.org/officeDocument/2006/relationships/hyperlink" Target="https://www.weismarkets.com/shop/product/weis-quality-mexican-style-mild-taco-seasoning-mix/132443" TargetMode="External"/><Relationship Id="rId41" Type="http://schemas.openxmlformats.org/officeDocument/2006/relationships/hyperlink" Target="https://www.weismarkets.com/shop/product/weis-quality-crushed-tomatoes-made-with-sea-salt/132197" TargetMode="External"/><Relationship Id="rId54" Type="http://schemas.openxmlformats.org/officeDocument/2006/relationships/hyperlink" Target="https://www.weismarkets.com/shop/product/weis-fresh-from-the-field-hot-house-tomatoes/118651" TargetMode="External"/><Relationship Id="rId1" Type="http://schemas.openxmlformats.org/officeDocument/2006/relationships/hyperlink" Target="https://www.weismarkets.com/shop/product/weis-fresh-from-the-field-salad-baby-spinach/131468" TargetMode="External"/><Relationship Id="rId6" Type="http://schemas.openxmlformats.org/officeDocument/2006/relationships/hyperlink" Target="https://www.weismarkets.com/shop/product/goya-garlic-minced/130573" TargetMode="External"/><Relationship Id="rId15" Type="http://schemas.openxmlformats.org/officeDocument/2006/relationships/hyperlink" Target="https://www.weismarkets.com/shop/product/weis-quality-salted-butter-sticks/131645" TargetMode="External"/><Relationship Id="rId23" Type="http://schemas.openxmlformats.org/officeDocument/2006/relationships/hyperlink" Target="https://www.weismarkets.com/shop/product/daisy-sour-cream-pure-natural/142367" TargetMode="External"/><Relationship Id="rId28" Type="http://schemas.openxmlformats.org/officeDocument/2006/relationships/hyperlink" Target="https://www.weismarkets.com/shop/product/weis-quality-pure-cane-granulated-sugar-extra-fine/3642997" TargetMode="External"/><Relationship Id="rId36" Type="http://schemas.openxmlformats.org/officeDocument/2006/relationships/hyperlink" Target="https://www.weismarkets.com/shop/product/weis-quality-fancy-shredded-parmesan-cheese/131557" TargetMode="External"/><Relationship Id="rId49" Type="http://schemas.openxmlformats.org/officeDocument/2006/relationships/hyperlink" Target="https://www.weismarkets.com/shop/product/weis-quality-fancy-shredded-four-cheese-mexican-blend/131548" TargetMode="External"/><Relationship Id="rId57" Type="http://schemas.openxmlformats.org/officeDocument/2006/relationships/hyperlink" Target="https://www.weismarkets.com/shop/product/la-choy-bean-sprouts/273911" TargetMode="External"/><Relationship Id="rId10" Type="http://schemas.openxmlformats.org/officeDocument/2006/relationships/hyperlink" Target="https://www.weismarkets.com/shop/product/weis-quality-milk-2-reduced-fat/131762" TargetMode="External"/><Relationship Id="rId31" Type="http://schemas.openxmlformats.org/officeDocument/2006/relationships/hyperlink" Target="https://www.weismarkets.com/shop/product/weis-quality-baking-soda/132668" TargetMode="External"/><Relationship Id="rId44" Type="http://schemas.openxmlformats.org/officeDocument/2006/relationships/hyperlink" Target="https://www.weismarkets.com/shop/product/spice-classics-paprika/502315" TargetMode="External"/><Relationship Id="rId52" Type="http://schemas.openxmlformats.org/officeDocument/2006/relationships/hyperlink" Target="https://www.weismarkets.com/shop/product/weis-quality-classic-mayo-real-mayonnaise/131844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arget.com/p/8-flour-tortillas-market-pantry/-/A-89246070?preselect=81858071" TargetMode="External"/><Relationship Id="rId18" Type="http://schemas.openxmlformats.org/officeDocument/2006/relationships/hyperlink" Target="https://www.target.com/p/shredded-cheese-good-gather/-/A-95161102?preselect=54337094" TargetMode="External"/><Relationship Id="rId26" Type="http://schemas.openxmlformats.org/officeDocument/2006/relationships/hyperlink" Target="https://www.target.com/p/golden-sweet-whole-kernel-corn-15-25oz-good-38-gather-8482/-/A-79466788" TargetMode="External"/><Relationship Id="rId39" Type="http://schemas.openxmlformats.org/officeDocument/2006/relationships/hyperlink" Target="https://www.target.com/p/broth-good-gather/-/A-95174386?preselect=54581340" TargetMode="External"/><Relationship Id="rId21" Type="http://schemas.openxmlformats.org/officeDocument/2006/relationships/hyperlink" Target="https://www.target.com/p/yellow-onion-each/-/A-13474244" TargetMode="External"/><Relationship Id="rId34" Type="http://schemas.openxmlformats.org/officeDocument/2006/relationships/hyperlink" Target="https://www.target.com/p/double-acting-baking-powder-8-1oz-good-38-gather-8482/-/A-77754271" TargetMode="External"/><Relationship Id="rId42" Type="http://schemas.openxmlformats.org/officeDocument/2006/relationships/hyperlink" Target="https://www.target.com/p/oregano-leaves-0-75oz-good-38-gather-8482/-/A-77588051" TargetMode="External"/><Relationship Id="rId47" Type="http://schemas.openxmlformats.org/officeDocument/2006/relationships/hyperlink" Target="https://www.target.com/p/deli-sliced-cheese-good-gather/-/A-95138096?preselect=54340560" TargetMode="External"/><Relationship Id="rId50" Type="http://schemas.openxmlformats.org/officeDocument/2006/relationships/hyperlink" Target="https://www.target.com/p/cucumber-2ct/-/A-80893055" TargetMode="External"/><Relationship Id="rId7" Type="http://schemas.openxmlformats.org/officeDocument/2006/relationships/hyperlink" Target="https://www.target.com/p/rotini-16oz-good-38-gather-8482/-/A-78779157" TargetMode="External"/><Relationship Id="rId2" Type="http://schemas.openxmlformats.org/officeDocument/2006/relationships/hyperlink" Target="https://www.target.com/p/premium-cherry-tomatoes-10oz-good-38-gather-8482-packaging-may-vary/-/A-82667108" TargetMode="External"/><Relationship Id="rId16" Type="http://schemas.openxmlformats.org/officeDocument/2006/relationships/hyperlink" Target="https://www.target.com/p/low-sodium-black-beans-15-5oz-good-38-gather-8482/-/A-78666534" TargetMode="External"/><Relationship Id="rId29" Type="http://schemas.openxmlformats.org/officeDocument/2006/relationships/hyperlink" Target="https://www.target.com/p/sour-cream-8oz-good-38-gather-8482/-/A-79556009" TargetMode="External"/><Relationship Id="rId11" Type="http://schemas.openxmlformats.org/officeDocument/2006/relationships/hyperlink" Target="https://www.target.com/p/strawberries-1lb/-/A-13208903" TargetMode="External"/><Relationship Id="rId24" Type="http://schemas.openxmlformats.org/officeDocument/2006/relationships/hyperlink" Target="https://www.target.com/p/organic-low-sodium-kidney-beans-15oz-good-38-gather-8482/-/A-78654192" TargetMode="External"/><Relationship Id="rId32" Type="http://schemas.openxmlformats.org/officeDocument/2006/relationships/hyperlink" Target="https://www.target.com/p/arm-38-hammer-pure-baking-soda-1lb/-/A-15133726" TargetMode="External"/><Relationship Id="rId37" Type="http://schemas.openxmlformats.org/officeDocument/2006/relationships/hyperlink" Target="https://www.target.com/p/tri-colored-bell-peppers-16oz-3ct-good-38-gather-8482-packaging-may-vary/-/A-78832378" TargetMode="External"/><Relationship Id="rId40" Type="http://schemas.openxmlformats.org/officeDocument/2006/relationships/hyperlink" Target="https://www.target.com/p/enriched-long-grain-white-rice-good-gather/-/A-89229583?preselect=54602335" TargetMode="External"/><Relationship Id="rId45" Type="http://schemas.openxmlformats.org/officeDocument/2006/relationships/hyperlink" Target="https://www.target.com/p/avocado-each/-/A-47095644" TargetMode="External"/><Relationship Id="rId5" Type="http://schemas.openxmlformats.org/officeDocument/2006/relationships/hyperlink" Target="https://www.target.com/p/salt-38-pepper-shakers-5oz-good-38-gather-8482/-/A-77588365" TargetMode="External"/><Relationship Id="rId15" Type="http://schemas.openxmlformats.org/officeDocument/2006/relationships/hyperlink" Target="https://www.target.com/p/butter-1lb-good-gather/-/A-94814505?preselect=54446566" TargetMode="External"/><Relationship Id="rId23" Type="http://schemas.openxmlformats.org/officeDocument/2006/relationships/hyperlink" Target="https://www.target.com/p/diced-tomatoes-good-gather/-/A-94669543?preselect=79359679" TargetMode="External"/><Relationship Id="rId28" Type="http://schemas.openxmlformats.org/officeDocument/2006/relationships/hyperlink" Target="https://www.target.com/p/grade-a-large-eggs-12ct-good-38-gather-8482-packaging-may-vary/-/A-14713534" TargetMode="External"/><Relationship Id="rId36" Type="http://schemas.openxmlformats.org/officeDocument/2006/relationships/hyperlink" Target="https://www.target.com/p/ken-39-s-steak-house-creamy-caesar-salad-dressing-16-fl-oz/-/A-14775008" TargetMode="External"/><Relationship Id="rId49" Type="http://schemas.openxmlformats.org/officeDocument/2006/relationships/hyperlink" Target="https://www.target.com/p/red-onion-each/-/A-14917313" TargetMode="External"/><Relationship Id="rId10" Type="http://schemas.openxmlformats.org/officeDocument/2006/relationships/hyperlink" Target="https://www.target.com/p/greek-plain-yogurt-32oz-good-gather/-/A-94895373?preselect=78362087" TargetMode="External"/><Relationship Id="rId19" Type="http://schemas.openxmlformats.org/officeDocument/2006/relationships/hyperlink" Target="https://www.target.com/p/parmesan-cheese-good-gather/-/A-95138779?preselect=54337106" TargetMode="External"/><Relationship Id="rId31" Type="http://schemas.openxmlformats.org/officeDocument/2006/relationships/hyperlink" Target="https://www.target.com/p/granulated-sugar-4lbs-good-38-gather-8482/-/A-78471310" TargetMode="External"/><Relationship Id="rId44" Type="http://schemas.openxmlformats.org/officeDocument/2006/relationships/hyperlink" Target="https://www.target.com/p/italian-seasoned-bread-crumbs-15oz-market-pantry-8482/-/A-14655045" TargetMode="External"/><Relationship Id="rId52" Type="http://schemas.openxmlformats.org/officeDocument/2006/relationships/hyperlink" Target="https://www.target.com/p/dijon-mustard-12oz-market-pantry-8482/-/A-14766261" TargetMode="External"/><Relationship Id="rId4" Type="http://schemas.openxmlformats.org/officeDocument/2006/relationships/hyperlink" Target="https://www.target.com/p/extra-virgin-olive-oil-good-gather/-/A-89409909?preselect=77643078" TargetMode="External"/><Relationship Id="rId9" Type="http://schemas.openxmlformats.org/officeDocument/2006/relationships/hyperlink" Target="https://www.target.com/p/milk-good-gather/-/A-94602358?preselect=13276204" TargetMode="External"/><Relationship Id="rId14" Type="http://schemas.openxmlformats.org/officeDocument/2006/relationships/hyperlink" Target="https://www.target.com/p/perdue-boneless-38-skinless-antibiotic-free-chicken-breast-1-3-2-4-lbs-price-per-lb/-/A-53659632" TargetMode="External"/><Relationship Id="rId22" Type="http://schemas.openxmlformats.org/officeDocument/2006/relationships/hyperlink" Target="https://www.target.com/p/white-onion-each/-/A-14917361" TargetMode="External"/><Relationship Id="rId27" Type="http://schemas.openxmlformats.org/officeDocument/2006/relationships/hyperlink" Target="https://www.target.com/p/fritos-original-corn-chips-9-25oz/-/A-12991608" TargetMode="External"/><Relationship Id="rId30" Type="http://schemas.openxmlformats.org/officeDocument/2006/relationships/hyperlink" Target="https://www.target.com/p/all-purpose-flour-5lbs-market-pantry-8482/-/A-13474783" TargetMode="External"/><Relationship Id="rId35" Type="http://schemas.openxmlformats.org/officeDocument/2006/relationships/hyperlink" Target="https://www.target.com/p/romaine-hearts-3ct-22oz-good-38-gather-8482/-/A-54571053" TargetMode="External"/><Relationship Id="rId43" Type="http://schemas.openxmlformats.org/officeDocument/2006/relationships/hyperlink" Target="https://www.target.com/p/crushed-red-pepper-1-5oz-good-38-gather-8482/-/A-77584991" TargetMode="External"/><Relationship Id="rId48" Type="http://schemas.openxmlformats.org/officeDocument/2006/relationships/hyperlink" Target="https://www.target.com/p/hellmann-s-real-mayonnaise-squeeze/-/A-91200407?preselect=52023330" TargetMode="External"/><Relationship Id="rId8" Type="http://schemas.openxmlformats.org/officeDocument/2006/relationships/hyperlink" Target="https://www.target.com/p/old-fashioned-oats-18oz-good-38-gather-8482/-/A-79364883" TargetMode="External"/><Relationship Id="rId51" Type="http://schemas.openxmlformats.org/officeDocument/2006/relationships/hyperlink" Target="https://www.target.com/p/organic-on-the-vine-tomatoes-1lb-good-38-gather-8482/-/A-85813668" TargetMode="External"/><Relationship Id="rId3" Type="http://schemas.openxmlformats.org/officeDocument/2006/relationships/hyperlink" Target="https://www.target.com/p/feta-cheese-good-gather/-/A-95143272?preselect=88076221" TargetMode="External"/><Relationship Id="rId12" Type="http://schemas.openxmlformats.org/officeDocument/2006/relationships/hyperlink" Target="https://www.target.com/p/raw-unfiltered-north-american-honey-good-gather/-/A-95242514?preselect=54436252" TargetMode="External"/><Relationship Id="rId17" Type="http://schemas.openxmlformats.org/officeDocument/2006/relationships/hyperlink" Target="https://www.target.com/p/shredded-cheese-good-gather/-/A-95161102?preselect=54337108" TargetMode="External"/><Relationship Id="rId25" Type="http://schemas.openxmlformats.org/officeDocument/2006/relationships/hyperlink" Target="https://www.target.com/p/old-el-paso-taco-seasoning-mix-original-1oz/-/A-13015071" TargetMode="External"/><Relationship Id="rId33" Type="http://schemas.openxmlformats.org/officeDocument/2006/relationships/hyperlink" Target="https://www.target.com/p/double-acting-baking-powder-8-1oz-good-38-gather-8482/-/A-77754271" TargetMode="External"/><Relationship Id="rId38" Type="http://schemas.openxmlformats.org/officeDocument/2006/relationships/hyperlink" Target="https://www.target.com/p/crushed-tomatoes-28oz-good-38-gather-8482/-/A-79359691" TargetMode="External"/><Relationship Id="rId46" Type="http://schemas.openxmlformats.org/officeDocument/2006/relationships/hyperlink" Target="https://www.target.com/p/pepperidge-farm-farmhouse-sourdough-bread-24oz/-/A-13282447" TargetMode="External"/><Relationship Id="rId20" Type="http://schemas.openxmlformats.org/officeDocument/2006/relationships/hyperlink" Target="https://www.target.com/p/73-27-ground-beef-1lb-good-38-gather-8482/-/A-17294006" TargetMode="External"/><Relationship Id="rId41" Type="http://schemas.openxmlformats.org/officeDocument/2006/relationships/hyperlink" Target="https://www.target.com/p/ground-paprika-2-12oz-good-38-gather-8482/-/A-77587875" TargetMode="External"/><Relationship Id="rId1" Type="http://schemas.openxmlformats.org/officeDocument/2006/relationships/hyperlink" Target="https://www.target.com/p/baby-spinach-5oz-good-38-gather-8482/-/A-54555524" TargetMode="External"/><Relationship Id="rId6" Type="http://schemas.openxmlformats.org/officeDocument/2006/relationships/hyperlink" Target="https://www.target.com/p/spice-world-organic-minced-garlic-4-5oz/-/A-85693938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giantfoodstores.com/product/our-brand-unsalted-sweet-cream-butter-sticks-4-ct-16-oz-box/57777" TargetMode="External"/><Relationship Id="rId18" Type="http://schemas.openxmlformats.org/officeDocument/2006/relationships/hyperlink" Target="https://giantfoodstores.com/product/our-brand-all-natural-80-lean-20-fat-ground-beef-fresh-apx-1.2-lb/59367" TargetMode="External"/><Relationship Id="rId26" Type="http://schemas.openxmlformats.org/officeDocument/2006/relationships/hyperlink" Target="https://giantfoodstores.com/product/our-brand-whole-wheat-flour-5-lb-bag/206382" TargetMode="External"/><Relationship Id="rId39" Type="http://schemas.openxmlformats.org/officeDocument/2006/relationships/hyperlink" Target="https://giantfoodstores.com/product/our-brand-crushed-tomatoes-28-oz-can/62060" TargetMode="External"/><Relationship Id="rId21" Type="http://schemas.openxmlformats.org/officeDocument/2006/relationships/hyperlink" Target="https://giantfoodstores.com/product/our-brand-light-red-kidney-beans-15.5-oz-can/56402" TargetMode="External"/><Relationship Id="rId34" Type="http://schemas.openxmlformats.org/officeDocument/2006/relationships/hyperlink" Target="https://giantfoodstores.com/product/our-brand-finely-shredded-parmesan-cheese-6-oz-bag/159242" TargetMode="External"/><Relationship Id="rId42" Type="http://schemas.openxmlformats.org/officeDocument/2006/relationships/hyperlink" Target="https://giantfoodstores.com/product/our-brand-paprika-2.12-oz-btl/129051" TargetMode="External"/><Relationship Id="rId47" Type="http://schemas.openxmlformats.org/officeDocument/2006/relationships/hyperlink" Target="https://giantfoodstores.com/product/our-brand-italian-style-panko-bread-crumbs-8-oz-can/180964" TargetMode="External"/><Relationship Id="rId50" Type="http://schemas.openxmlformats.org/officeDocument/2006/relationships/hyperlink" Target="https://giantfoodstores.com/product/our-brand-sharp-cheddar-cheese-slices-10-ct-8-oz-pkg/310983" TargetMode="External"/><Relationship Id="rId55" Type="http://schemas.openxmlformats.org/officeDocument/2006/relationships/hyperlink" Target="https://giantfoodstores.com/product/cucumber-1-ea/118597" TargetMode="External"/><Relationship Id="rId7" Type="http://schemas.openxmlformats.org/officeDocument/2006/relationships/hyperlink" Target="https://giantfoodstores.com/product/our-brand-feta-cheese-block-6-oz-pkg/212851" TargetMode="External"/><Relationship Id="rId2" Type="http://schemas.openxmlformats.org/officeDocument/2006/relationships/hyperlink" Target="https://giantfoodstores.com/product/naturesweet-glorys-cherry-tomatoes-10-oz-pkg/118741" TargetMode="External"/><Relationship Id="rId16" Type="http://schemas.openxmlformats.org/officeDocument/2006/relationships/hyperlink" Target="https://giantfoodstores.com/product/our-brand-finely-shredded-sharp-cheddar-cheese-8-oz-bag/155304" TargetMode="External"/><Relationship Id="rId29" Type="http://schemas.openxmlformats.org/officeDocument/2006/relationships/hyperlink" Target="https://giantfoodstores.com/product/our-brand-2-reduced-fat-cultured-buttermilk-1-quart/119784" TargetMode="External"/><Relationship Id="rId11" Type="http://schemas.openxmlformats.org/officeDocument/2006/relationships/hyperlink" Target="https://giantfoodstores.com/product/strawberries-16-oz-pkg/118795" TargetMode="External"/><Relationship Id="rId24" Type="http://schemas.openxmlformats.org/officeDocument/2006/relationships/hyperlink" Target="https://giantfoodstores.com/product/fritos-corn-chips-the-original-9.25-oz-bag/2669" TargetMode="External"/><Relationship Id="rId32" Type="http://schemas.openxmlformats.org/officeDocument/2006/relationships/hyperlink" Target="https://giantfoodstores.com/product/our-brand-vegetable-oil-24-oz-btl/57266" TargetMode="External"/><Relationship Id="rId37" Type="http://schemas.openxmlformats.org/officeDocument/2006/relationships/hyperlink" Target="https://giantfoodstores.com/product/our-brand-rainbow-bell-peppers-3-ct-pkg/356532" TargetMode="External"/><Relationship Id="rId40" Type="http://schemas.openxmlformats.org/officeDocument/2006/relationships/hyperlink" Target="https://giantfoodstores.com/product/our-brand-reduced-sodium-beef-broth-32-oz-ctn/371709" TargetMode="External"/><Relationship Id="rId45" Type="http://schemas.openxmlformats.org/officeDocument/2006/relationships/hyperlink" Target="https://giantfoodstores.com/product/chi-chis-burrito-style-flour-tortillas-10-inch-8-ct-17-oz-pkg/116309" TargetMode="External"/><Relationship Id="rId53" Type="http://schemas.openxmlformats.org/officeDocument/2006/relationships/hyperlink" Target="https://giantfoodstores.com/product/our-brand-dijon-mustard-12-oz-sqz/190749" TargetMode="External"/><Relationship Id="rId5" Type="http://schemas.openxmlformats.org/officeDocument/2006/relationships/hyperlink" Target="https://giantfoodstores.com/product/natures-promise-minced-garlic-4.5-oz-jar/318056" TargetMode="External"/><Relationship Id="rId19" Type="http://schemas.openxmlformats.org/officeDocument/2006/relationships/hyperlink" Target="https://giantfoodstores.com/product/our-brand-diced-tomatoes-14.5-oz-can/77458" TargetMode="External"/><Relationship Id="rId4" Type="http://schemas.openxmlformats.org/officeDocument/2006/relationships/hyperlink" Target="https://giantfoodstores.com/product/our-brand-extra-virgin-olive-oil-16.9-oz-btl/141819" TargetMode="External"/><Relationship Id="rId9" Type="http://schemas.openxmlformats.org/officeDocument/2006/relationships/hyperlink" Target="https://giantfoodstores.com/product/our-brand-2-reduced-fat-milk-1-quart/175522" TargetMode="External"/><Relationship Id="rId14" Type="http://schemas.openxmlformats.org/officeDocument/2006/relationships/hyperlink" Target="https://giantfoodstores.com/product/our-brand-99-fat-free-boneless-skinless-chicken-breast-cutlets-4-ct-apx-1-lb/301906" TargetMode="External"/><Relationship Id="rId22" Type="http://schemas.openxmlformats.org/officeDocument/2006/relationships/hyperlink" Target="https://giantfoodstores.com/product/our-brand-whole-kernel-sweet-corn-15.2-oz-can/79155" TargetMode="External"/><Relationship Id="rId27" Type="http://schemas.openxmlformats.org/officeDocument/2006/relationships/hyperlink" Target="https://giantfoodstores.com/product/our-brand-pure-cane-granulated-sugar-4-lb-bag/57517" TargetMode="External"/><Relationship Id="rId30" Type="http://schemas.openxmlformats.org/officeDocument/2006/relationships/hyperlink" Target="https://giantfoodstores.com/product/our-brand-pure-baking-soda-16-oz-box/57545" TargetMode="External"/><Relationship Id="rId35" Type="http://schemas.openxmlformats.org/officeDocument/2006/relationships/hyperlink" Target="https://giantfoodstores.com/product/our-brand-caesar-croutons-5-oz-bag/206317" TargetMode="External"/><Relationship Id="rId43" Type="http://schemas.openxmlformats.org/officeDocument/2006/relationships/hyperlink" Target="https://giantfoodstores.com/product/our-brand-oregano-leaves-0.75-oz-btl/209617" TargetMode="External"/><Relationship Id="rId48" Type="http://schemas.openxmlformats.org/officeDocument/2006/relationships/hyperlink" Target="https://giantfoodstores.com/product/ripe-hass-avocados-1-ea/123670" TargetMode="External"/><Relationship Id="rId56" Type="http://schemas.openxmlformats.org/officeDocument/2006/relationships/hyperlink" Target="https://giantfoodstores.com/product/red-onions-1-ea/118622" TargetMode="External"/><Relationship Id="rId8" Type="http://schemas.openxmlformats.org/officeDocument/2006/relationships/hyperlink" Target="https://giantfoodstores.com/product/our-brand-nonfat-plain-greek-yogurt-32-oz-tub/392625" TargetMode="External"/><Relationship Id="rId51" Type="http://schemas.openxmlformats.org/officeDocument/2006/relationships/hyperlink" Target="https://giantfoodstores.com/product/sara-lee-sourdough-sliced-bread-half-loaf-12-oz-bag/389231" TargetMode="External"/><Relationship Id="rId3" Type="http://schemas.openxmlformats.org/officeDocument/2006/relationships/hyperlink" Target="https://giantfoodstores.com/product/our-brand-old-fashioned-rolled-oats-42-oz-can/118806" TargetMode="External"/><Relationship Id="rId12" Type="http://schemas.openxmlformats.org/officeDocument/2006/relationships/hyperlink" Target="https://giantfoodstores.com/product/our-brand-u.s.-grade-a-wildflower-honey-12-oz-sqz/224516" TargetMode="External"/><Relationship Id="rId17" Type="http://schemas.openxmlformats.org/officeDocument/2006/relationships/hyperlink" Target="https://giantfoodstores.com/product/our-brand-salt-pepper-pre-filled-shakers-1-set/145039" TargetMode="External"/><Relationship Id="rId25" Type="http://schemas.openxmlformats.org/officeDocument/2006/relationships/hyperlink" Target="https://giantfoodstores.com/product/our-brand-sour-cream-8-oz-tub/57585" TargetMode="External"/><Relationship Id="rId33" Type="http://schemas.openxmlformats.org/officeDocument/2006/relationships/hyperlink" Target="https://giantfoodstores.com/product/our-brand-salad-basics-chopped-romaine-10-oz-bag/118791" TargetMode="External"/><Relationship Id="rId38" Type="http://schemas.openxmlformats.org/officeDocument/2006/relationships/hyperlink" Target="https://giantfoodstores.com/product/white-onions-1-ea/118631" TargetMode="External"/><Relationship Id="rId46" Type="http://schemas.openxmlformats.org/officeDocument/2006/relationships/hyperlink" Target="https://giantfoodstores.com/product/yellow-onions-1-ea/118651" TargetMode="External"/><Relationship Id="rId20" Type="http://schemas.openxmlformats.org/officeDocument/2006/relationships/hyperlink" Target="https://giantfoodstores.com/product/our-brand-taco-seasoning-mix-packet-1.25-oz-pkt/222222" TargetMode="External"/><Relationship Id="rId41" Type="http://schemas.openxmlformats.org/officeDocument/2006/relationships/hyperlink" Target="https://giantfoodstores.com/product/our-brand-long-grain-white-rice-16-oz-bag/187647" TargetMode="External"/><Relationship Id="rId54" Type="http://schemas.openxmlformats.org/officeDocument/2006/relationships/hyperlink" Target="https://giantfoodstores.com/product/extra-large-vine-ripe-tomatoes-1-ea/268197" TargetMode="External"/><Relationship Id="rId1" Type="http://schemas.openxmlformats.org/officeDocument/2006/relationships/hyperlink" Target="https://giantfoodstores.com/product/our-brand-salad-basics-baby-spinach-6-oz-bag/118789" TargetMode="External"/><Relationship Id="rId6" Type="http://schemas.openxmlformats.org/officeDocument/2006/relationships/hyperlink" Target="https://giantfoodstores.com/product/our-brand-linguine-pasta-16-oz-box/56515" TargetMode="External"/><Relationship Id="rId15" Type="http://schemas.openxmlformats.org/officeDocument/2006/relationships/hyperlink" Target="https://giantfoodstores.com/product/our-brand-black-beans-15.5-oz-can/56409" TargetMode="External"/><Relationship Id="rId23" Type="http://schemas.openxmlformats.org/officeDocument/2006/relationships/hyperlink" Target="https://giantfoodstores.com/product/our-brand-finely-shredded-sharp-cheddar-cheese-8-oz-bag/155304" TargetMode="External"/><Relationship Id="rId28" Type="http://schemas.openxmlformats.org/officeDocument/2006/relationships/hyperlink" Target="https://giantfoodstores.com/product/our-brand-baking-powder-double-acting-8.1-oz-can/172131" TargetMode="External"/><Relationship Id="rId36" Type="http://schemas.openxmlformats.org/officeDocument/2006/relationships/hyperlink" Target="https://giantfoodstores.com/product/our-brand-caesar-dressing-16-oz-btl/329919" TargetMode="External"/><Relationship Id="rId49" Type="http://schemas.openxmlformats.org/officeDocument/2006/relationships/hyperlink" Target="https://giantfoodstores.com/product/our-brand-finely-shredded-mexican-style-4-cheese-blend-8-oz-bag/89638" TargetMode="External"/><Relationship Id="rId57" Type="http://schemas.openxmlformats.org/officeDocument/2006/relationships/hyperlink" Target="https://giantfoodstores.com/product/jonathans-organic-alfalfa-sprouts-4-oz-pkg/299691" TargetMode="External"/><Relationship Id="rId10" Type="http://schemas.openxmlformats.org/officeDocument/2006/relationships/hyperlink" Target="https://giantfoodstores.com/product/natures-promise-organic-whole-black-chia-seeds-16-oz-pkg/217563" TargetMode="External"/><Relationship Id="rId31" Type="http://schemas.openxmlformats.org/officeDocument/2006/relationships/hyperlink" Target="https://giantfoodstores.com/product/our-brand-large-white-eggs-1-doz/57872" TargetMode="External"/><Relationship Id="rId44" Type="http://schemas.openxmlformats.org/officeDocument/2006/relationships/hyperlink" Target="https://giantfoodstores.com/product/our-brand-crushed-red-pepper-1.5-oz-btl/195576" TargetMode="External"/><Relationship Id="rId52" Type="http://schemas.openxmlformats.org/officeDocument/2006/relationships/hyperlink" Target="https://giantfoodstores.com/product/our-brand-real-mayonnaise-30-oz-jar/57325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amsclub.com/ip/Member-s-Mark-Salted-Sweet-Cream-Butter-4-lbs/15365221245?classType=REGULAR&amp;from=/search" TargetMode="External"/><Relationship Id="rId18" Type="http://schemas.openxmlformats.org/officeDocument/2006/relationships/hyperlink" Target="https://www.samsclub.com/ip/Member-s-Mark-93-7-Ground-Beef-priced-per-pound/13865573229?classType=REGULAR&amp;from=/search" TargetMode="External"/><Relationship Id="rId26" Type="http://schemas.openxmlformats.org/officeDocument/2006/relationships/hyperlink" Target="https://www.samsclub.com/ip/Member-s-Mark-Granulated-Sugar-10-lbs/7874221690?classType=REGULAR&amp;from=/search" TargetMode="External"/><Relationship Id="rId39" Type="http://schemas.openxmlformats.org/officeDocument/2006/relationships/hyperlink" Target="https://www.samsclub.com/ip/Multi-Bell-Sweet-Peppers-6-ct/13617010302?classType=REGULAR&amp;from=/search" TargetMode="External"/><Relationship Id="rId21" Type="http://schemas.openxmlformats.org/officeDocument/2006/relationships/hyperlink" Target="https://www.samsclub.com/ip/Bush-s-Dark-Red-Kidney-Beans-16-oz-6-pk/3940010735?classType=REGULAR" TargetMode="External"/><Relationship Id="rId34" Type="http://schemas.openxmlformats.org/officeDocument/2006/relationships/hyperlink" Target="https://www.samsclub.com/ip/Swanson-Beef-Broth-32-oz-3-pk/17414851150?classType=REGULAR&amp;from=/search" TargetMode="External"/><Relationship Id="rId42" Type="http://schemas.openxmlformats.org/officeDocument/2006/relationships/hyperlink" Target="https://www.samsclub.com/ip/Vigo-Italian-Style-Bread-Crumbs-5-lbs/13803520339?classType=REGULAR&amp;from=/search" TargetMode="External"/><Relationship Id="rId47" Type="http://schemas.openxmlformats.org/officeDocument/2006/relationships/hyperlink" Target="https://www.samsclub.com/ip/Kraft-Real-Mayo-Mayonnaise-30-fl-oz-jars-2-pk/2100004948?classType=REGULAR&amp;from=/search" TargetMode="External"/><Relationship Id="rId50" Type="http://schemas.openxmlformats.org/officeDocument/2006/relationships/hyperlink" Target="https://www.samsclub.com/ip/Seedless-English-Cucumbers-3-ct/13589450722?classType=REGULAR&amp;from=/search" TargetMode="External"/><Relationship Id="rId7" Type="http://schemas.openxmlformats.org/officeDocument/2006/relationships/hyperlink" Target="https://www.samsclub.com/ip/Barilla-Pasta-Rotini-Farfalle-Variety-Pack-1-lb-6-pk/15318961079?classType=REGULAR&amp;from=/search" TargetMode="External"/><Relationship Id="rId2" Type="http://schemas.openxmlformats.org/officeDocument/2006/relationships/hyperlink" Target="https://www.samsclub.com/ip/Ombres-Cherry-Tomatoes-On-The-Vine-1-5-lbs/13783451656?classType=REGULAR&amp;from=/search" TargetMode="External"/><Relationship Id="rId16" Type="http://schemas.openxmlformats.org/officeDocument/2006/relationships/hyperlink" Target="https://www.samsclub.com/ip/Bush-s-Black-Beans-15-oz-6-pk/3940010881?classType=REGULAR" TargetMode="External"/><Relationship Id="rId29" Type="http://schemas.openxmlformats.org/officeDocument/2006/relationships/hyperlink" Target="https://www.samsclub.com/ip/Member-s-Mark-Cage-Free-Grade-A-Large-White-Eggs-2-dozen/13607813672?classType=REGULAR&amp;from=/search" TargetMode="External"/><Relationship Id="rId11" Type="http://schemas.openxmlformats.org/officeDocument/2006/relationships/hyperlink" Target="https://www.samsclub.com/ip/Member-s-Mark-Wildflower-Pure-Premium-Honey-48-oz/15006863838?classType=REGULAR&amp;from=/search" TargetMode="External"/><Relationship Id="rId24" Type="http://schemas.openxmlformats.org/officeDocument/2006/relationships/hyperlink" Target="https://www.samsclub.com/ip/Daisy-Brand-Pure-and-Natural-Sour-Cream-14-oz-2-pk/13735720576?classType=REGULAR&amp;from=/search" TargetMode="External"/><Relationship Id="rId32" Type="http://schemas.openxmlformats.org/officeDocument/2006/relationships/hyperlink" Target="https://www.samsclub.com/ip/Member-s-Mark-Shredded-Parmesan-Cheese-24-oz/13865573600?classType=REGULAR&amp;from=/search" TargetMode="External"/><Relationship Id="rId37" Type="http://schemas.openxmlformats.org/officeDocument/2006/relationships/hyperlink" Target="https://www.samsclub.com/ip/Member-s-Mark-Oregano-5-5-oz/13599561333?classType=REGULAR&amp;from=/search" TargetMode="External"/><Relationship Id="rId40" Type="http://schemas.openxmlformats.org/officeDocument/2006/relationships/hyperlink" Target="https://www.samsclub.com/ip/Peri-Sons-Farms-White-Onions-5-lbs/13599213570?classType=REGULAR&amp;from=/search" TargetMode="External"/><Relationship Id="rId45" Type="http://schemas.openxmlformats.org/officeDocument/2006/relationships/hyperlink" Target="https://www.samsclub.com/ip/Nature-s-Own-Perfectly-Crafted-Thick-Sliced-Sourdough-Bread-22-oz/18605955761?classType=REGULAR&amp;from=/search" TargetMode="External"/><Relationship Id="rId5" Type="http://schemas.openxmlformats.org/officeDocument/2006/relationships/hyperlink" Target="https://www.samsclub.com/ip/Morton-Iodized-Salt-64-oz/13589509673?classType=REGULAR&amp;from=/search" TargetMode="External"/><Relationship Id="rId15" Type="http://schemas.openxmlformats.org/officeDocument/2006/relationships/hyperlink" Target="https://www.samsclub.com/ip/Member-s-Mark-Boneless-and-Skinless-Chicken-Breast-priced-per-pound/18999111186?classType=REGULAR&amp;from=/search" TargetMode="External"/><Relationship Id="rId23" Type="http://schemas.openxmlformats.org/officeDocument/2006/relationships/hyperlink" Target="https://www.samsclub.com/ip/Fritos-The-Original-Corn-Chips-18-125-oz/13575872430?classType=REGULAR&amp;from=/search" TargetMode="External"/><Relationship Id="rId28" Type="http://schemas.openxmlformats.org/officeDocument/2006/relationships/hyperlink" Target="https://www.samsclub.com/ip/Arm-Hammer-Pure-Baking-Soda-13-5-lbs/13960262278?classType=REGULAR&amp;from=/search" TargetMode="External"/><Relationship Id="rId36" Type="http://schemas.openxmlformats.org/officeDocument/2006/relationships/hyperlink" Target="https://www.samsclub.com/ip/Member-s-Mark-Spanish-Style-Paprika-18-oz/13594550259?classType=REGULAR&amp;from=/search" TargetMode="External"/><Relationship Id="rId49" Type="http://schemas.openxmlformats.org/officeDocument/2006/relationships/hyperlink" Target="https://www.samsclub.com/ip/Tomatoes-on-the-Vine-3-lbs/13595863391?classType=REGULAR&amp;from=/search" TargetMode="External"/><Relationship Id="rId10" Type="http://schemas.openxmlformats.org/officeDocument/2006/relationships/hyperlink" Target="https://www.samsclub.com/ip/Members-Mark-2-Ultra-Filtered-Milk-59-fl-oz/17587155922?classType=REGULAR&amp;from=/search" TargetMode="External"/><Relationship Id="rId19" Type="http://schemas.openxmlformats.org/officeDocument/2006/relationships/hyperlink" Target="https://www.samsclub.com/ip/Hunt-s-Fire-Roasted-Diced-Tomatoes-14-5-oz-8-pk/16436162719?classType=REGULAR&amp;from=/search" TargetMode="External"/><Relationship Id="rId31" Type="http://schemas.openxmlformats.org/officeDocument/2006/relationships/hyperlink" Target="https://www.samsclub.com/ip/Iceberg-Lettuce-2-heads/13725751832?classType=REGULAR" TargetMode="External"/><Relationship Id="rId44" Type="http://schemas.openxmlformats.org/officeDocument/2006/relationships/hyperlink" Target="https://www.samsclub.com/ip/Member-s-Mark-Mexican-Style-Finely-Shredded-Cheese-2-pk/13610570085?classType=REGULAR&amp;from=/search" TargetMode="External"/><Relationship Id="rId52" Type="http://schemas.openxmlformats.org/officeDocument/2006/relationships/hyperlink" Target="https://www.samsclub.com/ip/Organic-Brussels-Sprouts-2-lbs/13780816747?classType=REGULAR&amp;from=/search" TargetMode="External"/><Relationship Id="rId4" Type="http://schemas.openxmlformats.org/officeDocument/2006/relationships/hyperlink" Target="https://www.samsclub.com/ip/Bertolli-Extra-Light-Olive-Oil-67-6-fl-oz/17979155253?classType=REGULAR&amp;from=/search" TargetMode="External"/><Relationship Id="rId9" Type="http://schemas.openxmlformats.org/officeDocument/2006/relationships/hyperlink" Target="https://www.samsclub.com/ip/Member-s-Mark-Nonfat-Plain-Greek-Yogurt-48-oz/18097303669?classType=REGULAR&amp;from=/search" TargetMode="External"/><Relationship Id="rId14" Type="http://schemas.openxmlformats.org/officeDocument/2006/relationships/hyperlink" Target="https://www.samsclub.com/ip/La-Banderita-9-Homestyle-Soft-Taco-Flour-Tortillas-24-ct/13581873501?classType=REGULAR" TargetMode="External"/><Relationship Id="rId22" Type="http://schemas.openxmlformats.org/officeDocument/2006/relationships/hyperlink" Target="https://www.samsclub.com/ip/Del-Monte-Golden-Sweet-Whole-Kernel-Corn-15-25-oz-8-pk/13596361849?classType=REGULAR" TargetMode="External"/><Relationship Id="rId27" Type="http://schemas.openxmlformats.org/officeDocument/2006/relationships/hyperlink" Target="https://www.samsclub.com/ip/Clabber-Girl-Baking-Powder-22-oz-2-pk/13740309687?classType=REGULAR&amp;from=/search" TargetMode="External"/><Relationship Id="rId30" Type="http://schemas.openxmlformats.org/officeDocument/2006/relationships/hyperlink" Target="https://www.samsclub.com/ip/Member-s-Mark-Vegetable-Oil-192-oz/13588950739?classType=REGULAR&amp;from=/search" TargetMode="External"/><Relationship Id="rId35" Type="http://schemas.openxmlformats.org/officeDocument/2006/relationships/hyperlink" Target="https://www.samsclub.com/ip/Member-s-Mark-Long-Grain-White-Rice-25-lbs/7874220242?classType=REGULAR&amp;from=/search" TargetMode="External"/><Relationship Id="rId43" Type="http://schemas.openxmlformats.org/officeDocument/2006/relationships/hyperlink" Target="https://www.samsclub.com/ip/Avocados-5-ct/13586650560?classType=REGULAR&amp;from=/search" TargetMode="External"/><Relationship Id="rId48" Type="http://schemas.openxmlformats.org/officeDocument/2006/relationships/hyperlink" Target="https://www.samsclub.com/ip/French-s-100-Natural-Classic-Yellow-Mustard-30-oz-2-pk/4150081071?classType=REGULAR&amp;from=/search" TargetMode="External"/><Relationship Id="rId8" Type="http://schemas.openxmlformats.org/officeDocument/2006/relationships/hyperlink" Target="https://www.samsclub.com/ip/Quaker-Old-Fashioned-Oats-160-oz/3000041000?classType=REGULAR&amp;from=/search" TargetMode="External"/><Relationship Id="rId51" Type="http://schemas.openxmlformats.org/officeDocument/2006/relationships/hyperlink" Target="https://www.samsclub.com/ip/Tanimura-and-Antle-Sweet-Italian-Red-Onions-6-lbs/13580274076?classType=REGULAR&amp;from=/search" TargetMode="External"/><Relationship Id="rId3" Type="http://schemas.openxmlformats.org/officeDocument/2006/relationships/hyperlink" Target="https://www.samsclub.com/ip/President-Feta-Chunk-Cheese-32-oz/13575722114?classType=REGULAR&amp;from=/search" TargetMode="External"/><Relationship Id="rId12" Type="http://schemas.openxmlformats.org/officeDocument/2006/relationships/hyperlink" Target="https://www.samsclub.com/ip/Strawberries-2-lbs/13612870276?classType=REGULAR&amp;from=/search" TargetMode="External"/><Relationship Id="rId17" Type="http://schemas.openxmlformats.org/officeDocument/2006/relationships/hyperlink" Target="https://www.samsclub.com/ip/Member-s-Mark-Mild-Cheddar-Shredded-Cheese-16-oz-2-pk/13771120208?classType=REGULAR&amp;from=/search" TargetMode="External"/><Relationship Id="rId25" Type="http://schemas.openxmlformats.org/officeDocument/2006/relationships/hyperlink" Target="https://www.samsclub.com/ip/Gold-Medal-All-Purpose-Flour-12-lbs/1600050269?classType=REGULAR" TargetMode="External"/><Relationship Id="rId33" Type="http://schemas.openxmlformats.org/officeDocument/2006/relationships/hyperlink" Target="https://www.samsclub.com/ip/Member-s-Mark-Seasoned-Croutons-32-oz/13893856645?classType=REGULAR&amp;from=/search" TargetMode="External"/><Relationship Id="rId38" Type="http://schemas.openxmlformats.org/officeDocument/2006/relationships/hyperlink" Target="https://www.samsclub.com/ip/Member-s-Mark-Crushed-Red-Pepper-13-5-oz/13614254893?classType=REGULAR&amp;from=/search" TargetMode="External"/><Relationship Id="rId46" Type="http://schemas.openxmlformats.org/officeDocument/2006/relationships/hyperlink" Target="https://www.samsclub.com/ip/Member-s-Mark-Sliced-Colby-Jack-Cheese-2-lbs/13612565305?classType=REGULAR&amp;from=/search" TargetMode="External"/><Relationship Id="rId20" Type="http://schemas.openxmlformats.org/officeDocument/2006/relationships/hyperlink" Target="https://www.samsclub.com/ip/Old-El-Paso-Original-Taco-Seasoning-1-oz-10-pk/13581873768?classType=REGULAR&amp;from=/search" TargetMode="External"/><Relationship Id="rId41" Type="http://schemas.openxmlformats.org/officeDocument/2006/relationships/hyperlink" Target="https://www.samsclub.com/ip/Tuttorosso-Crushed-Tomatoes-with-Basil-28-oz-8-pk/7294075605?classType=REGULAR&amp;from=/search" TargetMode="External"/><Relationship Id="rId1" Type="http://schemas.openxmlformats.org/officeDocument/2006/relationships/hyperlink" Target="https://www.samsclub.com/search?q=baby+spinach" TargetMode="External"/><Relationship Id="rId6" Type="http://schemas.openxmlformats.org/officeDocument/2006/relationships/hyperlink" Target="https://www.samsclub.com/ip/Member-s-Mark-Minced-Garlic-48-oz/7874215051?classType=REGULAR&amp;from=/search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arget.com/p/organic-raw-unfiltered-pure-honey-12oz-good-38-gather-8482/-/A-54436263" TargetMode="External"/><Relationship Id="rId18" Type="http://schemas.openxmlformats.org/officeDocument/2006/relationships/hyperlink" Target="https://www.target.com/p/shredded-cheese-good-gather/-/A-95161102?preselect=54337105" TargetMode="External"/><Relationship Id="rId26" Type="http://schemas.openxmlformats.org/officeDocument/2006/relationships/hyperlink" Target="https://www.target.com/p/sour-cream-16oz-good-38-gather-8482/-/A-79556010" TargetMode="External"/><Relationship Id="rId39" Type="http://schemas.openxmlformats.org/officeDocument/2006/relationships/hyperlink" Target="https://www.target.com/p/tri-colored-bell-peppers-16oz-3ct-good-38-gather-8482-packaging-may-vary/-/A-78832378" TargetMode="External"/><Relationship Id="rId21" Type="http://schemas.openxmlformats.org/officeDocument/2006/relationships/hyperlink" Target="https://www.target.com/p/muir-glen-organic-fire-roasted-diced-tomatoes/-/A-94669615?preselect=13032003" TargetMode="External"/><Relationship Id="rId34" Type="http://schemas.openxmlformats.org/officeDocument/2006/relationships/hyperlink" Target="https://www.target.com/p/shredded-romaine-lettuce-8oz-good-38-gather-8482/-/A-79858162" TargetMode="External"/><Relationship Id="rId42" Type="http://schemas.openxmlformats.org/officeDocument/2006/relationships/hyperlink" Target="https://www.target.com/p/broth-good-gather/-/A-95174386?preselect=54581340" TargetMode="External"/><Relationship Id="rId47" Type="http://schemas.openxmlformats.org/officeDocument/2006/relationships/hyperlink" Target="https://www.target.com/p/avocado-each/-/A-47095644" TargetMode="External"/><Relationship Id="rId50" Type="http://schemas.openxmlformats.org/officeDocument/2006/relationships/hyperlink" Target="https://www.target.com/p/deli-sliced-cheese-good-gather/-/A-95138096?preselect=54340560" TargetMode="External"/><Relationship Id="rId55" Type="http://schemas.openxmlformats.org/officeDocument/2006/relationships/hyperlink" Target="https://www.target.com/p/red-onion-each/-/A-14917313" TargetMode="External"/><Relationship Id="rId7" Type="http://schemas.openxmlformats.org/officeDocument/2006/relationships/hyperlink" Target="https://www.target.com/p/rotini-16oz-good-38-gather-8482/-/A-78779157" TargetMode="External"/><Relationship Id="rId2" Type="http://schemas.openxmlformats.org/officeDocument/2006/relationships/hyperlink" Target="https://www.target.com/p/premium-cherry-tomatoes-10oz-good-38-gather-8482-packaging-may-vary/-/A-82667108" TargetMode="External"/><Relationship Id="rId16" Type="http://schemas.openxmlformats.org/officeDocument/2006/relationships/hyperlink" Target="https://www.target.com/p/boneless-skinless-chicken-breast-1-5-3-2lbs-price-per-lb-good-38-gather-8482/-/A-52205815" TargetMode="External"/><Relationship Id="rId29" Type="http://schemas.openxmlformats.org/officeDocument/2006/relationships/hyperlink" Target="https://www.target.com/p/clabber-girl-gluten-free-double-acting-baking-powder-8-1oz/-/A-14770673" TargetMode="External"/><Relationship Id="rId11" Type="http://schemas.openxmlformats.org/officeDocument/2006/relationships/hyperlink" Target="https://www.target.com/p/navitas-organics-vegan-chia-seeds-8oz/-/A-15317967" TargetMode="External"/><Relationship Id="rId24" Type="http://schemas.openxmlformats.org/officeDocument/2006/relationships/hyperlink" Target="https://www.target.com/p/golden-sweet-whole-kernel-corn-15-25oz-good-38-gather-8482/-/A-79466788" TargetMode="External"/><Relationship Id="rId32" Type="http://schemas.openxmlformats.org/officeDocument/2006/relationships/hyperlink" Target="https://www.target.com/p/cage-free-fresh-grade-a-large-brown-eggs-12ct-good-38-gather-8482/-/A-14662561" TargetMode="External"/><Relationship Id="rId37" Type="http://schemas.openxmlformats.org/officeDocument/2006/relationships/hyperlink" Target="https://www.target.com/p/ken-39-s-steak-house-creamy-caesar-salad-dressing-16-fl-oz/-/A-14775008" TargetMode="External"/><Relationship Id="rId40" Type="http://schemas.openxmlformats.org/officeDocument/2006/relationships/hyperlink" Target="https://www.target.com/p/white-onion-each/-/A-14917361" TargetMode="External"/><Relationship Id="rId45" Type="http://schemas.openxmlformats.org/officeDocument/2006/relationships/hyperlink" Target="https://www.target.com/p/oregano-leaves-0-75oz-good-38-gather-8482/-/A-77588051" TargetMode="External"/><Relationship Id="rId53" Type="http://schemas.openxmlformats.org/officeDocument/2006/relationships/hyperlink" Target="https://www.target.com/p/beefsteak-tomatoes-13oz-2ct-good-38-gather-8482-packaging-may-vary/-/A-82628083" TargetMode="External"/><Relationship Id="rId5" Type="http://schemas.openxmlformats.org/officeDocument/2006/relationships/hyperlink" Target="https://www.target.com/p/salt-38-pepper-shakers-5oz-good-38-gather-8482/-/A-77588365" TargetMode="External"/><Relationship Id="rId10" Type="http://schemas.openxmlformats.org/officeDocument/2006/relationships/hyperlink" Target="https://www.target.com/p/milk-good-gather/-/A-94602358?preselect=12925351" TargetMode="External"/><Relationship Id="rId19" Type="http://schemas.openxmlformats.org/officeDocument/2006/relationships/hyperlink" Target="https://www.target.com/p/all-natural-93-7-ground-beef-good-gather/-/A-94935670?preselect=13288296" TargetMode="External"/><Relationship Id="rId31" Type="http://schemas.openxmlformats.org/officeDocument/2006/relationships/hyperlink" Target="https://www.target.com/p/milk-good-gather/-/A-94602358?preselect=12925351" TargetMode="External"/><Relationship Id="rId44" Type="http://schemas.openxmlformats.org/officeDocument/2006/relationships/hyperlink" Target="https://www.target.com/p/ground-paprika-2-12oz-good-38-gather-8482/-/A-77587875" TargetMode="External"/><Relationship Id="rId52" Type="http://schemas.openxmlformats.org/officeDocument/2006/relationships/hyperlink" Target="https://www.target.com/p/dijon-mustard-12oz-market-pantry-8482/-/A-14766261" TargetMode="External"/><Relationship Id="rId4" Type="http://schemas.openxmlformats.org/officeDocument/2006/relationships/hyperlink" Target="https://www.target.com/p/extra-virgin-olive-oil-good-gather/-/A-89409909?preselect=77643078" TargetMode="External"/><Relationship Id="rId9" Type="http://schemas.openxmlformats.org/officeDocument/2006/relationships/hyperlink" Target="https://www.target.com/p/chobani-whole-milk-plain-greek-yogurt-32oz/-/A-15242876" TargetMode="External"/><Relationship Id="rId14" Type="http://schemas.openxmlformats.org/officeDocument/2006/relationships/hyperlink" Target="https://www.target.com/p/mission-burrito-size-flour-tortillas-20oz-8ct/-/A-13101055" TargetMode="External"/><Relationship Id="rId22" Type="http://schemas.openxmlformats.org/officeDocument/2006/relationships/hyperlink" Target="https://www.target.com/p/old-el-paso-taco-seasoning-mix-original-1oz/-/A-13015071" TargetMode="External"/><Relationship Id="rId27" Type="http://schemas.openxmlformats.org/officeDocument/2006/relationships/hyperlink" Target="https://www.target.com/p/whole-wheat-flour-5lb-good-38-gather-8482/-/A-78206460" TargetMode="External"/><Relationship Id="rId30" Type="http://schemas.openxmlformats.org/officeDocument/2006/relationships/hyperlink" Target="https://www.target.com/p/arm-38-hammer-pure-baking-soda-1lb/-/A-15133726" TargetMode="External"/><Relationship Id="rId35" Type="http://schemas.openxmlformats.org/officeDocument/2006/relationships/hyperlink" Target="https://www.target.com/p/parmesan-cheese-good-gather/-/A-95138779?preselect=54337106" TargetMode="External"/><Relationship Id="rId43" Type="http://schemas.openxmlformats.org/officeDocument/2006/relationships/hyperlink" Target="https://www.target.com/p/enriched-long-grain-white-rice-good-gather/-/A-89229583?preselect=54602335" TargetMode="External"/><Relationship Id="rId48" Type="http://schemas.openxmlformats.org/officeDocument/2006/relationships/hyperlink" Target="https://www.target.com/p/shredded-cheese-good-gather/-/A-95161102?preselect=54337113" TargetMode="External"/><Relationship Id="rId8" Type="http://schemas.openxmlformats.org/officeDocument/2006/relationships/hyperlink" Target="https://www.target.com/p/quaker-oats-old-fashioned-oats-42oz/-/A-13331320" TargetMode="External"/><Relationship Id="rId51" Type="http://schemas.openxmlformats.org/officeDocument/2006/relationships/hyperlink" Target="https://www.target.com/p/best-foods-real-mayonnaise/-/A-91200392?preselect=13027762" TargetMode="External"/><Relationship Id="rId3" Type="http://schemas.openxmlformats.org/officeDocument/2006/relationships/hyperlink" Target="https://www.target.com/p/feta-cheese-good-gather/-/A-95143272?preselect=88076221" TargetMode="External"/><Relationship Id="rId12" Type="http://schemas.openxmlformats.org/officeDocument/2006/relationships/hyperlink" Target="https://www.target.com/p/strawberries-1lb/-/A-13208903" TargetMode="External"/><Relationship Id="rId17" Type="http://schemas.openxmlformats.org/officeDocument/2006/relationships/hyperlink" Target="https://www.target.com/p/goya-black-beans-15-5oz/-/A-14771988" TargetMode="External"/><Relationship Id="rId25" Type="http://schemas.openxmlformats.org/officeDocument/2006/relationships/hyperlink" Target="https://www.target.com/p/fritos-original-corn-chips-9-25oz/-/A-12991608" TargetMode="External"/><Relationship Id="rId33" Type="http://schemas.openxmlformats.org/officeDocument/2006/relationships/hyperlink" Target="https://www.target.com/p/vegetable-oil-good-gather/-/A-89467834?preselect=78376314" TargetMode="External"/><Relationship Id="rId38" Type="http://schemas.openxmlformats.org/officeDocument/2006/relationships/hyperlink" Target="https://www.target.com/p/progresso-italian-style-bread-crumbs-15oz/-/A-12935586" TargetMode="External"/><Relationship Id="rId46" Type="http://schemas.openxmlformats.org/officeDocument/2006/relationships/hyperlink" Target="https://www.target.com/p/crushed-red-pepper-1-5oz-good-38-gather-8482/-/A-77584991" TargetMode="External"/><Relationship Id="rId20" Type="http://schemas.openxmlformats.org/officeDocument/2006/relationships/hyperlink" Target="https://www.target.com/p/yellow-onion-each/-/A-13474244" TargetMode="External"/><Relationship Id="rId41" Type="http://schemas.openxmlformats.org/officeDocument/2006/relationships/hyperlink" Target="https://www.target.com/p/muir-glen-organic-gluten-free-crushed-fire-roasted-tomatoes-14-5oz/-/A-79586106" TargetMode="External"/><Relationship Id="rId54" Type="http://schemas.openxmlformats.org/officeDocument/2006/relationships/hyperlink" Target="https://www.target.com/p/english-cucumber-each/-/A-13219631" TargetMode="External"/><Relationship Id="rId1" Type="http://schemas.openxmlformats.org/officeDocument/2006/relationships/hyperlink" Target="https://www.target.com/p/baby-spinach-5oz-good-38-gather-8482/-/A-54555524" TargetMode="External"/><Relationship Id="rId6" Type="http://schemas.openxmlformats.org/officeDocument/2006/relationships/hyperlink" Target="https://www.target.com/p/spice-world-minced-garlic-8oz/-/A-13556562" TargetMode="External"/><Relationship Id="rId15" Type="http://schemas.openxmlformats.org/officeDocument/2006/relationships/hyperlink" Target="https://www.target.com/p/butter-1lb-good-gather/-/A-94800768?preselect=80796339" TargetMode="External"/><Relationship Id="rId23" Type="http://schemas.openxmlformats.org/officeDocument/2006/relationships/hyperlink" Target="https://www.target.com/p/bush-39-s-dark-red-kidney-beans-16oz/-/A-13593955" TargetMode="External"/><Relationship Id="rId28" Type="http://schemas.openxmlformats.org/officeDocument/2006/relationships/hyperlink" Target="https://www.target.com/p/granulated-sugar-4lbs-good-38-gather-8482/-/A-78471310" TargetMode="External"/><Relationship Id="rId36" Type="http://schemas.openxmlformats.org/officeDocument/2006/relationships/hyperlink" Target="https://www.target.com/p/new-york-bakery-the-original-texas-toast-seasoned-croutons-5oz/-/A-13475919" TargetMode="External"/><Relationship Id="rId49" Type="http://schemas.openxmlformats.org/officeDocument/2006/relationships/hyperlink" Target="https://www.target.com/p/sliced-sourdough-bread-17oz-favorite-day-8482/-/A-14992707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di.us/product/pueblo-lindo-large-burrito-flour-tortillas-8-count-0000000000002386" TargetMode="External"/><Relationship Id="rId18" Type="http://schemas.openxmlformats.org/officeDocument/2006/relationships/hyperlink" Target="https://www.aldi.us/product/yellow-onions-3-lb-0000000000004002" TargetMode="External"/><Relationship Id="rId26" Type="http://schemas.openxmlformats.org/officeDocument/2006/relationships/hyperlink" Target="https://www.aldi.us/product/baker-s-corner-all-purpose-flour-5-lb-0000000000001812" TargetMode="External"/><Relationship Id="rId39" Type="http://schemas.openxmlformats.org/officeDocument/2006/relationships/hyperlink" Target="https://www.aldi.us/product/earthly-grains-long-grain-white-rice-3-lb-0000000000001374" TargetMode="External"/><Relationship Id="rId21" Type="http://schemas.openxmlformats.org/officeDocument/2006/relationships/hyperlink" Target="https://www.aldi.us/product/casa-mamita-taco-seasoning-mix-1-oz-0000000000001322" TargetMode="External"/><Relationship Id="rId34" Type="http://schemas.openxmlformats.org/officeDocument/2006/relationships/hyperlink" Target="https://www.aldi.us/product/tuscan-garden-classic-caesar-dressing-16-fl-oz-0000000000001910" TargetMode="External"/><Relationship Id="rId42" Type="http://schemas.openxmlformats.org/officeDocument/2006/relationships/hyperlink" Target="https://www.aldi.us/product/happy-farms-shredded-mexican-cheese-12-oz-0000000000001908" TargetMode="External"/><Relationship Id="rId47" Type="http://schemas.openxmlformats.org/officeDocument/2006/relationships/hyperlink" Target="https://www.aldi.us/product/specially-selected-sliced-sourdough-round-24-oz-0000000000002122" TargetMode="External"/><Relationship Id="rId50" Type="http://schemas.openxmlformats.org/officeDocument/2006/relationships/hyperlink" Target="https://www.aldi.us/product/red-onions-2-lb-0000000000003996" TargetMode="External"/><Relationship Id="rId7" Type="http://schemas.openxmlformats.org/officeDocument/2006/relationships/hyperlink" Target="https://www.aldi.us/product/millville-old-fashioned-rolled-oats-42-oz-0000000000001533" TargetMode="External"/><Relationship Id="rId2" Type="http://schemas.openxmlformats.org/officeDocument/2006/relationships/hyperlink" Target="https://www.aldi.us/product/carlini-pure-olive-oil-16-9-fl-oz-0000000000000192" TargetMode="External"/><Relationship Id="rId16" Type="http://schemas.openxmlformats.org/officeDocument/2006/relationships/hyperlink" Target="https://www.aldi.us/product/black-beans-15-5-oz-can-0000000000001392" TargetMode="External"/><Relationship Id="rId29" Type="http://schemas.openxmlformats.org/officeDocument/2006/relationships/hyperlink" Target="https://www.aldi.us/product/goldhen-grade-a-large-white-eggs-1-dozen-0000000000001719" TargetMode="External"/><Relationship Id="rId11" Type="http://schemas.openxmlformats.org/officeDocument/2006/relationships/hyperlink" Target="https://www.aldi.us/product/strawberries-1-lb-0000000000003798" TargetMode="External"/><Relationship Id="rId24" Type="http://schemas.openxmlformats.org/officeDocument/2006/relationships/hyperlink" Target="https://www.aldi.us/product/clancy-s-corn-chips-9-25-oz-0000000000001790" TargetMode="External"/><Relationship Id="rId32" Type="http://schemas.openxmlformats.org/officeDocument/2006/relationships/hyperlink" Target="https://www.aldi.us/product/emporium-selection-shredded-parmesan-cheese-5-oz-0000000000001522" TargetMode="External"/><Relationship Id="rId37" Type="http://schemas.openxmlformats.org/officeDocument/2006/relationships/hyperlink" Target="https://www.aldi.us/product/chef-s-cupboard-fat-free-beef-broth-32-oz-0000000000000092" TargetMode="External"/><Relationship Id="rId40" Type="http://schemas.openxmlformats.org/officeDocument/2006/relationships/hyperlink" Target="https://www.aldi.us/product/stonemill-oregano-leaves-0-75-oz-0000000000000184" TargetMode="External"/><Relationship Id="rId45" Type="http://schemas.openxmlformats.org/officeDocument/2006/relationships/hyperlink" Target="https://www.aldi.us/product/burman-s-real-mayonnaise-30-fl-oz-0000000000001246" TargetMode="External"/><Relationship Id="rId53" Type="http://schemas.openxmlformats.org/officeDocument/2006/relationships/hyperlink" Target="https://www.aldi.us/product/stonemill-iodized-salt-26-oz-0000000000001821" TargetMode="External"/><Relationship Id="rId5" Type="http://schemas.openxmlformats.org/officeDocument/2006/relationships/hyperlink" Target="https://www.aldi.us/product/stonemill-minced-garlic-in-water-8-oz-0000000000001929" TargetMode="External"/><Relationship Id="rId10" Type="http://schemas.openxmlformats.org/officeDocument/2006/relationships/hyperlink" Target="https://www.aldi.us/product/simply-nature-chia-seeds-12-oz-0000000000000605" TargetMode="External"/><Relationship Id="rId19" Type="http://schemas.openxmlformats.org/officeDocument/2006/relationships/hyperlink" Target="https://www.aldi.us/product/simply-nature-organic-grass-fed-85-lean-ground-beef-1-lb-0000000000001500" TargetMode="External"/><Relationship Id="rId31" Type="http://schemas.openxmlformats.org/officeDocument/2006/relationships/hyperlink" Target="https://www.aldi.us/product/carlini-pure-vegetable-oil-48-fl-oz-0000000000001136" TargetMode="External"/><Relationship Id="rId44" Type="http://schemas.openxmlformats.org/officeDocument/2006/relationships/hyperlink" Target="https://www.aldi.us/product/burman-s-dijon-mustard-12-oz-0000000000001527" TargetMode="External"/><Relationship Id="rId52" Type="http://schemas.openxmlformats.org/officeDocument/2006/relationships/hyperlink" Target="https://www.aldi.us/product/stonemill-crushed-red-pepper-1-5-oz-0000000000002495" TargetMode="External"/><Relationship Id="rId4" Type="http://schemas.openxmlformats.org/officeDocument/2006/relationships/hyperlink" Target="https://www.aldi.us/product/grape-tomatoes-10-oz-0000000000003829" TargetMode="External"/><Relationship Id="rId9" Type="http://schemas.openxmlformats.org/officeDocument/2006/relationships/hyperlink" Target="https://www.aldi.us/product/friendly-farms-2-milk-64-fl-oz-0000000000001476" TargetMode="External"/><Relationship Id="rId14" Type="http://schemas.openxmlformats.org/officeDocument/2006/relationships/hyperlink" Target="https://www.aldi.us/product/countryside-creamery-unsalted-butter-sticks-1-lb-0000000000001861" TargetMode="External"/><Relationship Id="rId22" Type="http://schemas.openxmlformats.org/officeDocument/2006/relationships/hyperlink" Target="https://www.aldi.us/product/dakota-s-pride-canned-dark-red-kidney-beans-15-5-oz-0000000000002679" TargetMode="External"/><Relationship Id="rId27" Type="http://schemas.openxmlformats.org/officeDocument/2006/relationships/hyperlink" Target="https://www.aldi.us/product/baker-s-corner-granulated-sugar-4-lb-0000000000001893" TargetMode="External"/><Relationship Id="rId30" Type="http://schemas.openxmlformats.org/officeDocument/2006/relationships/hyperlink" Target="https://www.aldi.us/product/baker-s-corner-baking-soda-16-oz-0000000000001901" TargetMode="External"/><Relationship Id="rId35" Type="http://schemas.openxmlformats.org/officeDocument/2006/relationships/hyperlink" Target="https://www.aldi.us/product/tuscan-garden-caesar-croutons-5-oz-0000000000001342" TargetMode="External"/><Relationship Id="rId43" Type="http://schemas.openxmlformats.org/officeDocument/2006/relationships/hyperlink" Target="https://www.aldi.us/product/large-avocado-each-0000000000005785" TargetMode="External"/><Relationship Id="rId48" Type="http://schemas.openxmlformats.org/officeDocument/2006/relationships/hyperlink" Target="https://www.aldi.us/product/fresh-cucumber-ea-0000000000003596" TargetMode="External"/><Relationship Id="rId8" Type="http://schemas.openxmlformats.org/officeDocument/2006/relationships/hyperlink" Target="https://www.aldi.us/product/friendly-farms-nonfat-plain-greek-yogurt-32-oz-0000000000000020" TargetMode="External"/><Relationship Id="rId51" Type="http://schemas.openxmlformats.org/officeDocument/2006/relationships/hyperlink" Target="https://www.aldi.us/product/stonemill-paprika-2-12-oz-0000000000002029" TargetMode="External"/><Relationship Id="rId3" Type="http://schemas.openxmlformats.org/officeDocument/2006/relationships/hyperlink" Target="https://www.aldi.us/product/emporium-selection-traditional-feta-cheese-block-8-oz-0000000000000421" TargetMode="External"/><Relationship Id="rId12" Type="http://schemas.openxmlformats.org/officeDocument/2006/relationships/hyperlink" Target="https://www.aldi.us/product/berryhill-honey-bear-12-oz-0000000000001030" TargetMode="External"/><Relationship Id="rId17" Type="http://schemas.openxmlformats.org/officeDocument/2006/relationships/hyperlink" Target="https://www.aldi.us/product/simply-nature-organic-chicken-breasts-per-lb-0000000000008054" TargetMode="External"/><Relationship Id="rId25" Type="http://schemas.openxmlformats.org/officeDocument/2006/relationships/hyperlink" Target="https://www.aldi.us/product/friendly-farms-sour-cream-16-oz-0000000000002088" TargetMode="External"/><Relationship Id="rId33" Type="http://schemas.openxmlformats.org/officeDocument/2006/relationships/hyperlink" Target="https://www.aldi.us/product/romaine-lettuce-hearts-3-count-0000000000003557" TargetMode="External"/><Relationship Id="rId38" Type="http://schemas.openxmlformats.org/officeDocument/2006/relationships/hyperlink" Target="https://www.aldi.us/product/happy-harvest-crushed-tomatoes-28-oz-0000000000001422" TargetMode="External"/><Relationship Id="rId46" Type="http://schemas.openxmlformats.org/officeDocument/2006/relationships/hyperlink" Target="https://www.aldi.us/product/happy-farms-deli-sliced-colby-jack-cheese-7-5-oz-0000000000001801" TargetMode="External"/><Relationship Id="rId20" Type="http://schemas.openxmlformats.org/officeDocument/2006/relationships/hyperlink" Target="https://www.aldi.us/product/simply-nature-organic-grass-fed-85-lean-ground-beef-1-lb-0000000000001500" TargetMode="External"/><Relationship Id="rId41" Type="http://schemas.openxmlformats.org/officeDocument/2006/relationships/hyperlink" Target="https://www.aldi.us/product/chef-s-cupboard-plain-breadcrumbs-15-oz-0000000000000730" TargetMode="External"/><Relationship Id="rId54" Type="http://schemas.openxmlformats.org/officeDocument/2006/relationships/hyperlink" Target="https://www.aldi.us/product/stonemill-ground-black-pepper-3-oz-0000000000001058" TargetMode="External"/><Relationship Id="rId1" Type="http://schemas.openxmlformats.org/officeDocument/2006/relationships/hyperlink" Target="https://www.aldi.us/product/simply-nature-organic-baby-spinach-5-oz-0000000000002510" TargetMode="External"/><Relationship Id="rId6" Type="http://schemas.openxmlformats.org/officeDocument/2006/relationships/hyperlink" Target="https://www.aldi.us/product/simply-nature-organic-linguine-1-lb-0000000000001535" TargetMode="External"/><Relationship Id="rId15" Type="http://schemas.openxmlformats.org/officeDocument/2006/relationships/hyperlink" Target="https://www.aldi.us/product/happy-farms-thick-cut-shredded-yellow-cheddar-cheese-11-oz-0000000000009398" TargetMode="External"/><Relationship Id="rId23" Type="http://schemas.openxmlformats.org/officeDocument/2006/relationships/hyperlink" Target="https://www.aldi.us/product/happy-harvest-canned-whole-kernel-golden-sweet-corn-15-25-oz-0000000000001645" TargetMode="External"/><Relationship Id="rId28" Type="http://schemas.openxmlformats.org/officeDocument/2006/relationships/hyperlink" Target="https://www.aldi.us/results?q=baking+powder" TargetMode="External"/><Relationship Id="rId36" Type="http://schemas.openxmlformats.org/officeDocument/2006/relationships/hyperlink" Target="https://www.aldi.us/product/multi-colored-peppers-3-count-0000000000004006" TargetMode="External"/><Relationship Id="rId49" Type="http://schemas.openxmlformats.org/officeDocument/2006/relationships/hyperlink" Target="https://www.aldi.us/product/roma-tomatoes-per-lb-0000000000005615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almart.com/ip/Great-Value-Honey-12-oz-Plastic-Bear/20647992?classType=VARIANT&amp;athbdg=L1200&amp;from=/search" TargetMode="External"/><Relationship Id="rId18" Type="http://schemas.openxmlformats.org/officeDocument/2006/relationships/hyperlink" Target="https://www.walmart.com/ip/Great-Value-Finely-Shredded-Sharp-Cheddar-Cheese-8-oz/10452431?classType=REGULAR&amp;athbdg=L1600&amp;from=/search" TargetMode="External"/><Relationship Id="rId26" Type="http://schemas.openxmlformats.org/officeDocument/2006/relationships/hyperlink" Target="https://www.walmart.com/ip/Great-Value-All-Natural-Sour-Cream-8-oz/12335110?classType=REGULAR&amp;athbdg=L1600&amp;from=/search" TargetMode="External"/><Relationship Id="rId39" Type="http://schemas.openxmlformats.org/officeDocument/2006/relationships/hyperlink" Target="https://www.walmart.com/ip/Fresh-Whole-White-Onions-Each/51259208?classType=REGULAR&amp;athbdg=L1200&amp;from=/search" TargetMode="External"/><Relationship Id="rId21" Type="http://schemas.openxmlformats.org/officeDocument/2006/relationships/hyperlink" Target="https://www.walmart.com/ip/Great-Value-Petite-Diced-Tomatoes-in-Tomato-Juice-14-5-oz/10416105?classType=REGULAR&amp;athbdg=L1200&amp;from=/search" TargetMode="External"/><Relationship Id="rId34" Type="http://schemas.openxmlformats.org/officeDocument/2006/relationships/hyperlink" Target="https://www.walmart.com/ip/Marketside-Hearts-of-Romaine-Salad-10-oz-Bag-Fresh/34017487?classType=REGULAR&amp;from=/search" TargetMode="External"/><Relationship Id="rId42" Type="http://schemas.openxmlformats.org/officeDocument/2006/relationships/hyperlink" Target="https://www.walmart.com/ip/Great-Value-Long-Grain-Enriched-Rice-16-oz/10315393?classType=REGULAR&amp;athbdg=L1600&amp;from=/search" TargetMode="External"/><Relationship Id="rId47" Type="http://schemas.openxmlformats.org/officeDocument/2006/relationships/hyperlink" Target="https://www.walmart.com/ip/Fresh-Hass-Avocados-Each/44390949?classType=REGULAR&amp;athbdg=L1200&amp;from=/search" TargetMode="External"/><Relationship Id="rId50" Type="http://schemas.openxmlformats.org/officeDocument/2006/relationships/hyperlink" Target="https://www.walmart.com/ip/Great-Value-Singles-American-Pasteurized-Prepared-Cheese-Product-12-oz-16-Count/10452422?classType=REGULAR&amp;from=/search" TargetMode="External"/><Relationship Id="rId55" Type="http://schemas.openxmlformats.org/officeDocument/2006/relationships/hyperlink" Target="https://www.walmart.com/ip/Fresh-Whole-Red-Onion-Each/51259215?classType=REGULAR&amp;athbdg=L1200&amp;from=/search" TargetMode="External"/><Relationship Id="rId7" Type="http://schemas.openxmlformats.org/officeDocument/2006/relationships/hyperlink" Target="https://www.walmart.com/ip/Great-Value-Black-Pepper-Iodized-Salt-5-25-oz/820711625?classType=VARIANT&amp;athbdg=L1200" TargetMode="External"/><Relationship Id="rId2" Type="http://schemas.openxmlformats.org/officeDocument/2006/relationships/hyperlink" Target="https://www.walmart.com/ip/Sunset-Angel-Sweet-Tomatoes-1-Pint-Package-Fresh/542955132?classType=REGULAR&amp;adsRedirect=true" TargetMode="External"/><Relationship Id="rId16" Type="http://schemas.openxmlformats.org/officeDocument/2006/relationships/hyperlink" Target="https://www.walmart.com/ip/Perdue-No-Antibiotics-Ever-Fresh-Boneless-Skinless-Chicken-Breast-1-6-2-4-lb-Tray/145843573?classType=REGULAR&amp;adsRedirect=true" TargetMode="External"/><Relationship Id="rId29" Type="http://schemas.openxmlformats.org/officeDocument/2006/relationships/hyperlink" Target="https://www.walmart.com/ip/Great-Value-Double-Acting-Baking-Powder-8-1-oz/16627955?classType=VARIANT&amp;athbdg=L1200&amp;from=/search" TargetMode="External"/><Relationship Id="rId11" Type="http://schemas.openxmlformats.org/officeDocument/2006/relationships/hyperlink" Target="https://www.walmart.com/ip/Great-Value-Greek-Vanilla-Nonfat-Yogurt-5-3-oz-Plastic-Cups/165741453?classType=REGULAR&amp;from=/search" TargetMode="External"/><Relationship Id="rId24" Type="http://schemas.openxmlformats.org/officeDocument/2006/relationships/hyperlink" Target="https://www.walmart.com/ip/Great-Value-Golden-Sweet-Whole-Kernel-Corn-15-Oz/10315427?classType=VARIANT&amp;athbdg=L1200&amp;from=/search" TargetMode="External"/><Relationship Id="rId32" Type="http://schemas.openxmlformats.org/officeDocument/2006/relationships/hyperlink" Target="https://www.walmart.com/ip/Great-Value-Large-White-Eggs-6-Count/172144435?classType=REGULAR&amp;athbdg=L1100&amp;from=/search" TargetMode="External"/><Relationship Id="rId37" Type="http://schemas.openxmlformats.org/officeDocument/2006/relationships/hyperlink" Target="https://www.walmart.com/ip/Great-Value-Creamy-Caesar-Salad-Dressing-Dip-16-fl-oz/10452406?classType=REGULAR&amp;athbdg=L1200&amp;from=/search" TargetMode="External"/><Relationship Id="rId40" Type="http://schemas.openxmlformats.org/officeDocument/2006/relationships/hyperlink" Target="https://www.walmart.com/ip/Furmano-s-Crushed-Tomatoes-15-oz-Can/37233051?classType=VARIANT&amp;from=/search" TargetMode="External"/><Relationship Id="rId45" Type="http://schemas.openxmlformats.org/officeDocument/2006/relationships/hyperlink" Target="https://www.walmart.com/ip/Great-Value-Crushed-Red-Pepper-1-75-oz/217612954?classType=VARIANT&amp;athbdg=L1200&amp;from=/search" TargetMode="External"/><Relationship Id="rId53" Type="http://schemas.openxmlformats.org/officeDocument/2006/relationships/hyperlink" Target="https://www.walmart.com/ip/Fresh-Roma-Tomato-Each/44390944?classType=REGULAR&amp;athbdg=L1200&amp;from=/search" TargetMode="External"/><Relationship Id="rId5" Type="http://schemas.openxmlformats.org/officeDocument/2006/relationships/hyperlink" Target="https://www.walmart.com/ip/Spice-World-Minced-Garlic-Jar-4-5-oz/10320869?classType=REGULAR&amp;athbdg=L1600&amp;from=/search" TargetMode="External"/><Relationship Id="rId10" Type="http://schemas.openxmlformats.org/officeDocument/2006/relationships/hyperlink" Target="https://www.walmart.com/ip/Galliker-s-Fresh-2-Reduced-Fat-Milk-Natural-Flavor-Pint-Plastic-Bottle-16-fl-oz/141075277?classType=REGULAR&amp;from=/search" TargetMode="External"/><Relationship Id="rId19" Type="http://schemas.openxmlformats.org/officeDocument/2006/relationships/hyperlink" Target="https://www.walmart.com/ip/Marketside-Grass-Fed-Ground-Beef-80-Lean-20-Fat-1-lb/147307377?classType=REGULAR&amp;from=/search" TargetMode="External"/><Relationship Id="rId31" Type="http://schemas.openxmlformats.org/officeDocument/2006/relationships/hyperlink" Target="https://www.walmart.com/ip/Galliker-s-Fresh-Cultured-Low-Fat-Buttermilk-Quart-Plastic-Bottle-32-fl-oz/170451147?classType=REGULAR&amp;from=/search" TargetMode="External"/><Relationship Id="rId44" Type="http://schemas.openxmlformats.org/officeDocument/2006/relationships/hyperlink" Target="https://www.walmart.com/ip/Great-Value-Oregano-Leaves-0-87-oz/631368530?classType=REGULAR&amp;athbdg=L1200&amp;from=/search" TargetMode="External"/><Relationship Id="rId52" Type="http://schemas.openxmlformats.org/officeDocument/2006/relationships/hyperlink" Target="https://www.walmart.com/ip/Great-Value-Dijon-Mustard-12-oz-Squeeze-Bottle/10315545?classType=VARIANT&amp;athbdg=L1200&amp;from=/search" TargetMode="External"/><Relationship Id="rId4" Type="http://schemas.openxmlformats.org/officeDocument/2006/relationships/hyperlink" Target="https://www.walmart.com/ip/Great-Value-Classic-Olive-Oil-17-fl-oz/10315103?classType=REGULAR&amp;athbdg=L1600&amp;from=/search" TargetMode="External"/><Relationship Id="rId9" Type="http://schemas.openxmlformats.org/officeDocument/2006/relationships/hyperlink" Target="https://www.walmart.com/ip/Black-Chia-Seeds-8-Ounces-Kosher-Sproutable-Raw-Vegan-by-Food-to-Live/186295652?classType=VARIANT&amp;from=/search" TargetMode="External"/><Relationship Id="rId14" Type="http://schemas.openxmlformats.org/officeDocument/2006/relationships/hyperlink" Target="https://www.walmart.com/ip/Great-Value-Burrito-Flour-Tortillas-20-oz-8-Count/339860540?classType=VARIANT&amp;athbdg=L1600&amp;from=/search" TargetMode="External"/><Relationship Id="rId22" Type="http://schemas.openxmlformats.org/officeDocument/2006/relationships/hyperlink" Target="https://www.walmart.com/ip/McCormick-Mild-Taco-Seasoning-Mix-1-oz-Envelope/54320936?classType=VARIANT&amp;adsRedirect=true" TargetMode="External"/><Relationship Id="rId27" Type="http://schemas.openxmlformats.org/officeDocument/2006/relationships/hyperlink" Target="https://www.walmart.com/ip/King-Arthur-Whole-Wheat-Flour-100-Whole-Grain-Non-GMO-Project-Verified-Certified-Kosher-5-lbs/10535109?classType=VARIANT&amp;athbdg=L1200&amp;from=/search" TargetMode="External"/><Relationship Id="rId30" Type="http://schemas.openxmlformats.org/officeDocument/2006/relationships/hyperlink" Target="https://www.walmart.com/ip/Great-Value-Baking-Soda-1-Lb/10315486?classType=VARIANT&amp;athbdg=L1200&amp;from=/search" TargetMode="External"/><Relationship Id="rId35" Type="http://schemas.openxmlformats.org/officeDocument/2006/relationships/hyperlink" Target="https://www.walmart.com/ip/Great-Value-Finely-Shredded-Parmesan-Cheese-6-oz/10452414?classType=REGULAR&amp;athbdg=L1200&amp;from=/search" TargetMode="External"/><Relationship Id="rId43" Type="http://schemas.openxmlformats.org/officeDocument/2006/relationships/hyperlink" Target="https://www.walmart.com/ip/Great-Value-Paprika-2-5-oz/559839182?classType=REGULAR&amp;athbdg=L1200&amp;from=/search" TargetMode="External"/><Relationship Id="rId48" Type="http://schemas.openxmlformats.org/officeDocument/2006/relationships/hyperlink" Target="https://www.walmart.com/ip/Great-Value-Finely-Shredded-Fiesta-Blend-Cheese-8-oz/10452562?classType=REGULAR&amp;athbdg=L1600&amp;from=/search" TargetMode="External"/><Relationship Id="rId8" Type="http://schemas.openxmlformats.org/officeDocument/2006/relationships/hyperlink" Target="https://www.walmart.com/ip/Great-Value-Instant-Old-Fashioned-Oats-Tube-18-oz/10315761?classType=VARIANT&amp;athbdg=L1600&amp;from=/search" TargetMode="External"/><Relationship Id="rId51" Type="http://schemas.openxmlformats.org/officeDocument/2006/relationships/hyperlink" Target="https://www.walmart.com/ip/Great-Value-Mayonnaise-15-fl-oz/17056889?classType=VARIANT&amp;athbdg=L1600&amp;from=/search" TargetMode="External"/><Relationship Id="rId3" Type="http://schemas.openxmlformats.org/officeDocument/2006/relationships/hyperlink" Target="https://www.walmart.com/ip/President-All-Natural-Feta-Cheese-Block-8-oz-Refrigerated/21805040?classType=REGULAR&amp;adsRedirect=true" TargetMode="External"/><Relationship Id="rId12" Type="http://schemas.openxmlformats.org/officeDocument/2006/relationships/hyperlink" Target="https://www.walmart.com/ip/Fresh-Strawberries-8-8-oz-Container/1175460573?classType=REGULAR&amp;athbdg=L1100&amp;from=/search" TargetMode="External"/><Relationship Id="rId17" Type="http://schemas.openxmlformats.org/officeDocument/2006/relationships/hyperlink" Target="https://www.walmart.com/ip/Land-O-Lakes-Salted-Butter-Half-Sticks-4-Half-Butter-Sticks-8-oz-Pack/10801754?classType=REGULAR&amp;athbdg=L1300&amp;from=/search" TargetMode="External"/><Relationship Id="rId25" Type="http://schemas.openxmlformats.org/officeDocument/2006/relationships/hyperlink" Target="https://www.walmart.com/ip/Fritos-Regular-Corn-Chips-9-25-oz-Single-Bag/17056788?classType=VARIANT&amp;athbdg=L1300&amp;adsRedirect=true" TargetMode="External"/><Relationship Id="rId33" Type="http://schemas.openxmlformats.org/officeDocument/2006/relationships/hyperlink" Target="https://www.walmart.com/ip/Crisco-Pure-Vegetable-Oil-16-fl-oz/450346255?classType=VARIANT&amp;athbdg=L1600&amp;from=/search" TargetMode="External"/><Relationship Id="rId38" Type="http://schemas.openxmlformats.org/officeDocument/2006/relationships/hyperlink" Target="https://www.walmart.com/ip/Fresh-Color-Bell-Peppers-3-Count/47770124?classType=REGULAR&amp;from=/search" TargetMode="External"/><Relationship Id="rId46" Type="http://schemas.openxmlformats.org/officeDocument/2006/relationships/hyperlink" Target="https://www.walmart.com/ip/Great-Value-Italian-Style-Bread-Crumbs-15-oz/10315088?classType=VARIANT&amp;athbdg=L1200&amp;from=/search" TargetMode="External"/><Relationship Id="rId20" Type="http://schemas.openxmlformats.org/officeDocument/2006/relationships/hyperlink" Target="https://www.walmart.com/ip/Fresh-Whole-Yellow-Onion-Each/51259212?classType=REGULAR&amp;athbdg=L1200&amp;from=/search" TargetMode="External"/><Relationship Id="rId41" Type="http://schemas.openxmlformats.org/officeDocument/2006/relationships/hyperlink" Target="https://www.walmart.com/ip/Great-Value-Beef-Broth-32-oz-Carton-Shelf-Stable-Ambient-Gluten-Free/10899014?classType=VARIANT&amp;athbdg=L1300&amp;from=/search" TargetMode="External"/><Relationship Id="rId54" Type="http://schemas.openxmlformats.org/officeDocument/2006/relationships/hyperlink" Target="https://www.walmart.com/ip/Fresh-Cucumber-Each/44390954?classType=REGULAR&amp;athbdg=L1200&amp;from=/search" TargetMode="External"/><Relationship Id="rId1" Type="http://schemas.openxmlformats.org/officeDocument/2006/relationships/hyperlink" Target="https://www.walmart.com/ip/Marketside-Fresh-Baby-Spinach-6-oz-Bag-Fresh/34017490?classType=REGULAR&amp;athbdg=L1200&amp;from=/search" TargetMode="External"/><Relationship Id="rId6" Type="http://schemas.openxmlformats.org/officeDocument/2006/relationships/hyperlink" Target="https://www.walmart.com/ip/Great-Value-Linguine-16-oz/10534116?classType=VARIANT&amp;athbdg=L1200&amp;from=/search" TargetMode="External"/><Relationship Id="rId15" Type="http://schemas.openxmlformats.org/officeDocument/2006/relationships/hyperlink" Target="https://www.walmart.com/ip/Great-Value-Black-Beans-15-oz-Can/10534038?classType=REGULAR&amp;athbdg=L1200&amp;from=/search" TargetMode="External"/><Relationship Id="rId23" Type="http://schemas.openxmlformats.org/officeDocument/2006/relationships/hyperlink" Target="https://www.walmart.com/ip/Great-Value-Dark-Red-Kidney-Beans-15-5-oz/10534045?classType=VARIANT&amp;athbdg=L1200&amp;from=/search" TargetMode="External"/><Relationship Id="rId28" Type="http://schemas.openxmlformats.org/officeDocument/2006/relationships/hyperlink" Target="https://www.walmart.com/ip/Domino-Premium-Pure-Cane-Granulated-Sugar-1-lb-Box/10291744?classType=VARIANT&amp;from=/search" TargetMode="External"/><Relationship Id="rId36" Type="http://schemas.openxmlformats.org/officeDocument/2006/relationships/hyperlink" Target="https://www.walmart.com/ip/Great-Value-Seasoned-Croutons-5-oz-Resealable-Bag-Ready-to-eat-Baked-and-Seasoned/159107262?classType=VARIANT&amp;athbdg=L1600&amp;from=/search" TargetMode="External"/><Relationship Id="rId49" Type="http://schemas.openxmlformats.org/officeDocument/2006/relationships/hyperlink" Target="https://www.walmart.com/ip/Sara-Lee-Sourdough-Bread-Half-Loaf-12-oz/17316658037?classType=REGULAR&amp;from=/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14BD-FCA8-4960-9A26-AC817C9F71FB}">
  <dimension ref="A1:P120"/>
  <sheetViews>
    <sheetView tabSelected="1" workbookViewId="0">
      <pane ySplit="1" topLeftCell="A2" activePane="bottomLeft" state="frozen"/>
      <selection pane="bottomLeft" activeCell="H10" sqref="C4:H10"/>
    </sheetView>
  </sheetViews>
  <sheetFormatPr defaultRowHeight="14.6" x14ac:dyDescent="0.4"/>
  <cols>
    <col min="1" max="1" width="32.69140625" customWidth="1"/>
    <col min="2" max="2" width="16.69140625" bestFit="1" customWidth="1"/>
    <col min="3" max="3" width="15" bestFit="1" customWidth="1"/>
    <col min="4" max="4" width="10.84375" bestFit="1" customWidth="1"/>
    <col min="16384" max="16384" width="9.15234375" bestFit="1" customWidth="1"/>
  </cols>
  <sheetData>
    <row r="1" spans="1:16" x14ac:dyDescent="0.4">
      <c r="A1" s="6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/>
      <c r="K1" s="5"/>
      <c r="L1" s="5"/>
      <c r="M1" s="5"/>
      <c r="N1" s="5"/>
      <c r="O1" s="5"/>
    </row>
    <row r="2" spans="1:16" x14ac:dyDescent="0.4">
      <c r="A2" s="31" t="s">
        <v>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6" x14ac:dyDescent="0.4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6" x14ac:dyDescent="0.4">
      <c r="A4" t="s">
        <v>11</v>
      </c>
      <c r="B4" t="s">
        <v>12</v>
      </c>
      <c r="C4" t="s">
        <v>13</v>
      </c>
      <c r="D4" t="s">
        <v>1076</v>
      </c>
      <c r="E4" t="s">
        <v>87</v>
      </c>
      <c r="F4" t="s">
        <v>1077</v>
      </c>
      <c r="G4" t="s">
        <v>943</v>
      </c>
      <c r="H4" t="s">
        <v>1078</v>
      </c>
      <c r="I4" s="14" t="s">
        <v>14</v>
      </c>
      <c r="J4" s="15"/>
      <c r="K4" s="15"/>
      <c r="L4" s="15"/>
    </row>
    <row r="5" spans="1:16" x14ac:dyDescent="0.4">
      <c r="A5" t="s">
        <v>15</v>
      </c>
      <c r="B5" t="s">
        <v>16</v>
      </c>
      <c r="C5" t="s">
        <v>13</v>
      </c>
      <c r="D5" t="s">
        <v>1079</v>
      </c>
      <c r="E5" t="s">
        <v>87</v>
      </c>
      <c r="F5" t="s">
        <v>1080</v>
      </c>
      <c r="G5" t="s">
        <v>1081</v>
      </c>
      <c r="H5" t="s">
        <v>1015</v>
      </c>
      <c r="I5" s="14" t="s">
        <v>18</v>
      </c>
      <c r="J5" s="15"/>
      <c r="K5" s="15"/>
      <c r="L5" s="15"/>
    </row>
    <row r="6" spans="1:16" x14ac:dyDescent="0.4">
      <c r="A6" t="s">
        <v>19</v>
      </c>
      <c r="B6" t="s">
        <v>16</v>
      </c>
      <c r="C6" t="s">
        <v>13</v>
      </c>
      <c r="D6" t="s">
        <v>1082</v>
      </c>
      <c r="E6" t="s">
        <v>1083</v>
      </c>
      <c r="F6" t="s">
        <v>1084</v>
      </c>
      <c r="G6" t="s">
        <v>1085</v>
      </c>
      <c r="H6" t="s">
        <v>1086</v>
      </c>
      <c r="I6" s="14" t="s">
        <v>20</v>
      </c>
      <c r="J6" s="15"/>
      <c r="K6" s="15"/>
      <c r="L6" s="15"/>
    </row>
    <row r="7" spans="1:16" x14ac:dyDescent="0.4">
      <c r="A7" t="s">
        <v>21</v>
      </c>
      <c r="B7" t="s">
        <v>22</v>
      </c>
      <c r="C7" t="s">
        <v>975</v>
      </c>
      <c r="D7" t="s">
        <v>976</v>
      </c>
      <c r="E7" t="s">
        <v>965</v>
      </c>
      <c r="F7" t="s">
        <v>956</v>
      </c>
      <c r="G7" t="s">
        <v>925</v>
      </c>
      <c r="H7" t="s">
        <v>925</v>
      </c>
      <c r="I7" s="14" t="s">
        <v>25</v>
      </c>
      <c r="J7" s="15"/>
      <c r="K7" s="15"/>
      <c r="L7" s="15"/>
    </row>
    <row r="8" spans="1:16" x14ac:dyDescent="0.4">
      <c r="A8" t="s">
        <v>26</v>
      </c>
      <c r="B8" t="s">
        <v>27</v>
      </c>
      <c r="C8" t="s">
        <v>172</v>
      </c>
      <c r="D8" t="s">
        <v>948</v>
      </c>
      <c r="E8" t="s">
        <v>925</v>
      </c>
      <c r="F8" t="s">
        <v>949</v>
      </c>
      <c r="G8" t="s">
        <v>925</v>
      </c>
      <c r="H8" t="s">
        <v>925</v>
      </c>
      <c r="I8" s="14" t="s">
        <v>28</v>
      </c>
      <c r="J8" s="14" t="s">
        <v>29</v>
      </c>
      <c r="K8" s="15"/>
      <c r="L8" s="15"/>
    </row>
    <row r="9" spans="1:16" x14ac:dyDescent="0.4">
      <c r="A9" t="s">
        <v>30</v>
      </c>
      <c r="B9" t="s">
        <v>22</v>
      </c>
      <c r="C9" t="s">
        <v>975</v>
      </c>
      <c r="D9" t="s">
        <v>1005</v>
      </c>
      <c r="E9" t="s">
        <v>925</v>
      </c>
      <c r="F9" t="s">
        <v>936</v>
      </c>
      <c r="G9" t="s">
        <v>918</v>
      </c>
      <c r="H9" t="s">
        <v>913</v>
      </c>
      <c r="I9" s="14" t="s">
        <v>31</v>
      </c>
      <c r="J9" s="15"/>
      <c r="K9" s="15"/>
      <c r="L9" s="15"/>
    </row>
    <row r="10" spans="1:16" x14ac:dyDescent="0.4">
      <c r="A10" t="s">
        <v>32</v>
      </c>
      <c r="B10" t="s">
        <v>33</v>
      </c>
      <c r="C10" t="s">
        <v>1087</v>
      </c>
      <c r="D10" t="s">
        <v>1088</v>
      </c>
      <c r="E10" t="s">
        <v>1007</v>
      </c>
      <c r="F10" t="s">
        <v>956</v>
      </c>
      <c r="G10" t="s">
        <v>1089</v>
      </c>
      <c r="H10" t="s">
        <v>965</v>
      </c>
      <c r="I10" s="14" t="s">
        <v>18</v>
      </c>
      <c r="J10" s="15"/>
      <c r="K10" s="15"/>
      <c r="L10" s="15"/>
    </row>
    <row r="11" spans="1:16" x14ac:dyDescent="0.4">
      <c r="A11" s="1" t="s">
        <v>34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6" x14ac:dyDescent="0.4">
      <c r="A12" s="11" t="s">
        <v>35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6" x14ac:dyDescent="0.4">
      <c r="A13" s="11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6" x14ac:dyDescent="0.4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 x14ac:dyDescent="0.4">
      <c r="A15" t="s">
        <v>37</v>
      </c>
      <c r="B15" t="s">
        <v>38</v>
      </c>
      <c r="C15" t="s">
        <v>38</v>
      </c>
      <c r="D15" t="s">
        <v>1064</v>
      </c>
      <c r="E15" t="s">
        <v>87</v>
      </c>
      <c r="F15" t="s">
        <v>956</v>
      </c>
      <c r="G15" t="s">
        <v>1065</v>
      </c>
      <c r="H15" t="s">
        <v>991</v>
      </c>
      <c r="I15" s="14" t="s">
        <v>40</v>
      </c>
      <c r="J15" s="15"/>
      <c r="K15" s="15"/>
      <c r="L15" s="15"/>
    </row>
    <row r="16" spans="1:16" x14ac:dyDescent="0.4">
      <c r="A16" t="s">
        <v>41</v>
      </c>
      <c r="B16" t="s">
        <v>38</v>
      </c>
      <c r="C16" t="s">
        <v>38</v>
      </c>
      <c r="D16" t="s">
        <v>1066</v>
      </c>
      <c r="E16" t="s">
        <v>925</v>
      </c>
      <c r="F16" t="s">
        <v>1067</v>
      </c>
      <c r="G16" t="s">
        <v>937</v>
      </c>
      <c r="H16" t="s">
        <v>1068</v>
      </c>
      <c r="I16" s="14" t="s">
        <v>42</v>
      </c>
      <c r="J16" s="15"/>
      <c r="K16" s="15"/>
      <c r="L16" s="15"/>
    </row>
    <row r="17" spans="1:16" x14ac:dyDescent="0.4">
      <c r="A17" t="s">
        <v>43</v>
      </c>
      <c r="B17" t="s">
        <v>44</v>
      </c>
      <c r="C17" t="s">
        <v>17</v>
      </c>
      <c r="D17" t="s">
        <v>1069</v>
      </c>
      <c r="E17" t="s">
        <v>1070</v>
      </c>
      <c r="F17" t="s">
        <v>1071</v>
      </c>
      <c r="G17" t="s">
        <v>1007</v>
      </c>
      <c r="H17" t="s">
        <v>1072</v>
      </c>
      <c r="I17" s="14" t="s">
        <v>45</v>
      </c>
      <c r="J17" s="15"/>
      <c r="K17" s="15"/>
      <c r="L17" s="15"/>
    </row>
    <row r="18" spans="1:16" x14ac:dyDescent="0.4">
      <c r="A18" t="s">
        <v>46</v>
      </c>
      <c r="B18" t="s">
        <v>47</v>
      </c>
      <c r="C18" t="s">
        <v>47</v>
      </c>
      <c r="D18" t="s">
        <v>912</v>
      </c>
      <c r="E18" t="s">
        <v>970</v>
      </c>
      <c r="F18" t="s">
        <v>1073</v>
      </c>
      <c r="G18" t="s">
        <v>972</v>
      </c>
      <c r="H18" t="s">
        <v>1004</v>
      </c>
      <c r="I18" s="14" t="s">
        <v>48</v>
      </c>
      <c r="J18" s="15"/>
      <c r="K18" s="15"/>
      <c r="L18" s="15"/>
    </row>
    <row r="19" spans="1:16" x14ac:dyDescent="0.4">
      <c r="A19" t="s">
        <v>49</v>
      </c>
      <c r="B19" t="s">
        <v>38</v>
      </c>
      <c r="C19" t="s">
        <v>38</v>
      </c>
      <c r="D19" t="s">
        <v>1074</v>
      </c>
      <c r="E19" t="s">
        <v>925</v>
      </c>
      <c r="F19" t="s">
        <v>956</v>
      </c>
      <c r="G19" t="s">
        <v>991</v>
      </c>
      <c r="H19" t="s">
        <v>924</v>
      </c>
      <c r="I19" s="14" t="s">
        <v>48</v>
      </c>
      <c r="J19" s="15"/>
      <c r="K19" s="15"/>
      <c r="L19" s="15"/>
    </row>
    <row r="20" spans="1:16" x14ac:dyDescent="0.4">
      <c r="A20" t="s">
        <v>50</v>
      </c>
      <c r="B20" t="s">
        <v>47</v>
      </c>
      <c r="C20" t="s">
        <v>68</v>
      </c>
      <c r="D20" t="s">
        <v>1075</v>
      </c>
      <c r="E20" t="s">
        <v>925</v>
      </c>
      <c r="F20" t="s">
        <v>956</v>
      </c>
      <c r="G20" t="s">
        <v>970</v>
      </c>
      <c r="H20" t="s">
        <v>925</v>
      </c>
      <c r="I20" s="14" t="s">
        <v>51</v>
      </c>
      <c r="J20" s="15"/>
      <c r="K20" s="15"/>
      <c r="L20" s="15"/>
    </row>
    <row r="21" spans="1:16" x14ac:dyDescent="0.4">
      <c r="A21" s="1" t="s">
        <v>34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6" x14ac:dyDescent="0.4">
      <c r="A22" s="13" t="s">
        <v>52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6" x14ac:dyDescent="0.4">
      <c r="A23" s="27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6" x14ac:dyDescent="0.4">
      <c r="A24" s="29" t="s">
        <v>53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x14ac:dyDescent="0.4">
      <c r="A25" t="s">
        <v>54</v>
      </c>
      <c r="B25">
        <v>8</v>
      </c>
      <c r="C25" t="s">
        <v>928</v>
      </c>
      <c r="D25" t="s">
        <v>1049</v>
      </c>
      <c r="E25" t="s">
        <v>915</v>
      </c>
      <c r="F25" t="s">
        <v>1050</v>
      </c>
      <c r="G25" t="s">
        <v>1051</v>
      </c>
      <c r="H25" t="s">
        <v>1052</v>
      </c>
      <c r="I25" s="14" t="s">
        <v>55</v>
      </c>
      <c r="J25" s="15"/>
      <c r="K25" s="15"/>
      <c r="L25" s="15"/>
    </row>
    <row r="26" spans="1:16" x14ac:dyDescent="0.4">
      <c r="A26" t="s">
        <v>56</v>
      </c>
      <c r="B26" t="s">
        <v>57</v>
      </c>
      <c r="C26" t="s">
        <v>23</v>
      </c>
      <c r="D26" t="s">
        <v>1053</v>
      </c>
      <c r="E26" t="s">
        <v>970</v>
      </c>
      <c r="F26" t="s">
        <v>1054</v>
      </c>
      <c r="G26" t="s">
        <v>925</v>
      </c>
      <c r="H26" t="s">
        <v>924</v>
      </c>
      <c r="I26" s="14" t="s">
        <v>59</v>
      </c>
      <c r="J26" s="15"/>
      <c r="K26" s="15"/>
      <c r="L26" s="15"/>
    </row>
    <row r="27" spans="1:16" x14ac:dyDescent="0.4">
      <c r="A27" s="3" t="s">
        <v>60</v>
      </c>
      <c r="B27" t="s">
        <v>61</v>
      </c>
      <c r="C27" t="s">
        <v>1055</v>
      </c>
      <c r="D27" t="s">
        <v>929</v>
      </c>
      <c r="E27" t="s">
        <v>1056</v>
      </c>
      <c r="F27" t="s">
        <v>1054</v>
      </c>
      <c r="G27" t="s">
        <v>925</v>
      </c>
      <c r="H27" t="s">
        <v>1057</v>
      </c>
      <c r="I27" s="14" t="s">
        <v>62</v>
      </c>
      <c r="J27" s="15"/>
      <c r="K27" s="15"/>
      <c r="L27" s="15"/>
    </row>
    <row r="28" spans="1:16" x14ac:dyDescent="0.4">
      <c r="A28" t="s">
        <v>63</v>
      </c>
      <c r="B28" t="s">
        <v>64</v>
      </c>
      <c r="C28" t="s">
        <v>17</v>
      </c>
      <c r="D28" t="s">
        <v>1058</v>
      </c>
      <c r="E28" t="s">
        <v>842</v>
      </c>
      <c r="F28" t="s">
        <v>1037</v>
      </c>
      <c r="G28" t="s">
        <v>1059</v>
      </c>
      <c r="H28" t="s">
        <v>1060</v>
      </c>
      <c r="I28" s="28" t="s">
        <v>65</v>
      </c>
      <c r="J28" s="15"/>
      <c r="K28" s="15"/>
      <c r="L28" s="15"/>
    </row>
    <row r="29" spans="1:16" x14ac:dyDescent="0.4">
      <c r="A29" t="s">
        <v>66</v>
      </c>
      <c r="B29" t="s">
        <v>38</v>
      </c>
      <c r="C29" t="s">
        <v>17</v>
      </c>
      <c r="D29" t="s">
        <v>1061</v>
      </c>
      <c r="E29" t="s">
        <v>1062</v>
      </c>
      <c r="F29" t="s">
        <v>1063</v>
      </c>
      <c r="G29" t="s">
        <v>937</v>
      </c>
      <c r="H29" t="s">
        <v>1004</v>
      </c>
      <c r="I29" s="28" t="s">
        <v>67</v>
      </c>
      <c r="J29" s="15"/>
      <c r="K29" s="15"/>
      <c r="L29" s="15"/>
    </row>
    <row r="30" spans="1:16" x14ac:dyDescent="0.4">
      <c r="A30" t="s">
        <v>26</v>
      </c>
      <c r="B30" t="s">
        <v>68</v>
      </c>
      <c r="C30" t="s">
        <v>172</v>
      </c>
      <c r="D30" t="s">
        <v>948</v>
      </c>
      <c r="E30" t="s">
        <v>925</v>
      </c>
      <c r="F30" t="s">
        <v>949</v>
      </c>
      <c r="G30" t="s">
        <v>925</v>
      </c>
      <c r="H30" t="s">
        <v>925</v>
      </c>
      <c r="I30" t="s">
        <v>69</v>
      </c>
      <c r="J30" s="15"/>
      <c r="K30" s="15"/>
      <c r="L30" s="15"/>
    </row>
    <row r="31" spans="1:16" x14ac:dyDescent="0.4">
      <c r="A31" t="s">
        <v>70</v>
      </c>
      <c r="B31" t="s">
        <v>58</v>
      </c>
      <c r="C31" t="s">
        <v>975</v>
      </c>
      <c r="D31" t="s">
        <v>993</v>
      </c>
      <c r="E31" t="s">
        <v>994</v>
      </c>
      <c r="F31" t="s">
        <v>956</v>
      </c>
      <c r="G31" t="s">
        <v>925</v>
      </c>
      <c r="H31" t="s">
        <v>925</v>
      </c>
      <c r="I31" t="s">
        <v>69</v>
      </c>
      <c r="J31" s="15"/>
      <c r="K31" s="15"/>
      <c r="L31" s="15"/>
    </row>
    <row r="32" spans="1:16" x14ac:dyDescent="0.4">
      <c r="A32" s="1" t="s">
        <v>34</v>
      </c>
      <c r="C32" s="15"/>
      <c r="D32" s="15"/>
      <c r="E32" s="15"/>
      <c r="F32" s="15"/>
      <c r="G32" s="15"/>
      <c r="I32" s="15"/>
      <c r="J32" s="15"/>
      <c r="K32" s="15"/>
      <c r="L32" s="15"/>
    </row>
    <row r="33" spans="1:16" x14ac:dyDescent="0.4">
      <c r="A33" s="11" t="s">
        <v>71</v>
      </c>
      <c r="C33" s="15"/>
      <c r="D33" s="15"/>
      <c r="E33" s="15"/>
      <c r="F33" s="15"/>
      <c r="G33" s="15"/>
      <c r="I33" s="15"/>
      <c r="J33" s="15"/>
      <c r="K33" s="15"/>
      <c r="L33" s="15"/>
    </row>
    <row r="34" spans="1:16" x14ac:dyDescent="0.4">
      <c r="A34" s="11"/>
      <c r="C34" s="15"/>
      <c r="D34" s="15"/>
      <c r="E34" s="15"/>
      <c r="F34" s="15"/>
      <c r="G34" s="15"/>
      <c r="I34" s="15"/>
      <c r="J34" s="15"/>
      <c r="K34" s="15"/>
      <c r="L34" s="15"/>
    </row>
    <row r="35" spans="1:16" x14ac:dyDescent="0.4">
      <c r="A35" s="29" t="s">
        <v>72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spans="1:16" x14ac:dyDescent="0.4">
      <c r="A36" s="3" t="s">
        <v>73</v>
      </c>
      <c r="B36" t="s">
        <v>74</v>
      </c>
      <c r="C36" t="s">
        <v>149</v>
      </c>
      <c r="D36" t="s">
        <v>977</v>
      </c>
      <c r="E36" t="s">
        <v>978</v>
      </c>
      <c r="F36" t="s">
        <v>979</v>
      </c>
      <c r="G36" t="s">
        <v>925</v>
      </c>
      <c r="H36" t="s">
        <v>980</v>
      </c>
      <c r="I36" s="28" t="s">
        <v>75</v>
      </c>
      <c r="J36" s="15"/>
      <c r="K36" s="15"/>
      <c r="L36" s="15"/>
      <c r="M36" s="2"/>
      <c r="N36" s="2"/>
      <c r="O36" s="2"/>
      <c r="P36" s="2"/>
    </row>
    <row r="37" spans="1:16" x14ac:dyDescent="0.4">
      <c r="A37" s="3" t="s">
        <v>76</v>
      </c>
      <c r="B37" s="18">
        <v>1</v>
      </c>
      <c r="C37" t="s">
        <v>981</v>
      </c>
      <c r="D37" t="s">
        <v>999</v>
      </c>
      <c r="E37" t="s">
        <v>924</v>
      </c>
      <c r="F37" t="s">
        <v>1000</v>
      </c>
      <c r="G37" t="s">
        <v>1001</v>
      </c>
      <c r="H37" t="s">
        <v>991</v>
      </c>
      <c r="I37" s="28" t="s">
        <v>78</v>
      </c>
      <c r="J37" s="15"/>
      <c r="K37" s="15"/>
      <c r="L37" s="15"/>
      <c r="M37" s="2"/>
      <c r="N37" s="2"/>
      <c r="O37" s="2"/>
      <c r="P37" s="2"/>
    </row>
    <row r="38" spans="1:16" x14ac:dyDescent="0.4">
      <c r="A38" t="s">
        <v>79</v>
      </c>
      <c r="B38" t="s">
        <v>64</v>
      </c>
      <c r="C38" t="s">
        <v>1031</v>
      </c>
      <c r="D38" t="s">
        <v>1032</v>
      </c>
      <c r="E38" t="s">
        <v>925</v>
      </c>
      <c r="F38" t="s">
        <v>1033</v>
      </c>
      <c r="G38" t="s">
        <v>930</v>
      </c>
      <c r="H38" t="s">
        <v>1007</v>
      </c>
      <c r="I38" s="28" t="s">
        <v>81</v>
      </c>
      <c r="J38" s="15"/>
      <c r="K38" s="15"/>
      <c r="L38" s="15"/>
      <c r="M38" s="2"/>
      <c r="N38" s="2"/>
      <c r="O38" s="2"/>
      <c r="P38" s="2"/>
    </row>
    <row r="39" spans="1:16" x14ac:dyDescent="0.4">
      <c r="A39" t="s">
        <v>82</v>
      </c>
      <c r="B39" t="s">
        <v>83</v>
      </c>
      <c r="C39" t="s">
        <v>83</v>
      </c>
      <c r="D39" t="s">
        <v>995</v>
      </c>
      <c r="E39" t="s">
        <v>925</v>
      </c>
      <c r="F39" t="s">
        <v>1034</v>
      </c>
      <c r="G39" t="s">
        <v>1035</v>
      </c>
      <c r="H39" t="s">
        <v>925</v>
      </c>
      <c r="I39" s="28" t="s">
        <v>85</v>
      </c>
      <c r="J39" s="15"/>
      <c r="K39" s="15"/>
      <c r="L39" s="15"/>
      <c r="M39" s="2"/>
      <c r="N39" s="2"/>
      <c r="O39" s="2"/>
      <c r="P39" s="2"/>
    </row>
    <row r="40" spans="1:16" x14ac:dyDescent="0.4">
      <c r="A40" t="s">
        <v>86</v>
      </c>
      <c r="B40" t="s">
        <v>64</v>
      </c>
      <c r="C40" t="s">
        <v>17</v>
      </c>
      <c r="D40" t="s">
        <v>1036</v>
      </c>
      <c r="E40" t="s">
        <v>842</v>
      </c>
      <c r="F40" t="s">
        <v>1037</v>
      </c>
      <c r="G40" t="s">
        <v>1038</v>
      </c>
      <c r="H40" t="s">
        <v>1039</v>
      </c>
      <c r="I40" s="28" t="s">
        <v>88</v>
      </c>
      <c r="J40" s="15"/>
      <c r="K40" s="15"/>
      <c r="L40" s="15"/>
    </row>
    <row r="41" spans="1:16" x14ac:dyDescent="0.4">
      <c r="A41" t="s">
        <v>89</v>
      </c>
      <c r="B41" t="s">
        <v>64</v>
      </c>
      <c r="C41" t="s">
        <v>1040</v>
      </c>
      <c r="D41" t="s">
        <v>1041</v>
      </c>
      <c r="E41" t="s">
        <v>1007</v>
      </c>
      <c r="F41" t="s">
        <v>1042</v>
      </c>
      <c r="G41" t="s">
        <v>1043</v>
      </c>
      <c r="H41" t="s">
        <v>916</v>
      </c>
      <c r="I41" s="28" t="s">
        <v>90</v>
      </c>
      <c r="J41" s="15"/>
      <c r="K41" s="15"/>
      <c r="L41" s="15"/>
    </row>
    <row r="42" spans="1:16" x14ac:dyDescent="0.4">
      <c r="A42" t="s">
        <v>26</v>
      </c>
      <c r="B42" t="s">
        <v>91</v>
      </c>
      <c r="C42" t="s">
        <v>172</v>
      </c>
      <c r="D42" t="s">
        <v>948</v>
      </c>
      <c r="E42" t="s">
        <v>925</v>
      </c>
      <c r="F42" t="s">
        <v>949</v>
      </c>
      <c r="G42" t="s">
        <v>925</v>
      </c>
      <c r="H42" t="s">
        <v>925</v>
      </c>
      <c r="I42" s="3" t="s">
        <v>69</v>
      </c>
      <c r="J42" s="15"/>
      <c r="K42" s="15"/>
      <c r="L42" s="15"/>
    </row>
    <row r="43" spans="1:16" x14ac:dyDescent="0.4">
      <c r="A43" t="s">
        <v>66</v>
      </c>
      <c r="B43" t="s">
        <v>92</v>
      </c>
      <c r="C43" t="s">
        <v>17</v>
      </c>
      <c r="D43" t="s">
        <v>962</v>
      </c>
      <c r="E43" t="s">
        <v>963</v>
      </c>
      <c r="F43" t="s">
        <v>1044</v>
      </c>
      <c r="G43" t="s">
        <v>842</v>
      </c>
      <c r="H43" t="s">
        <v>965</v>
      </c>
      <c r="I43" s="3" t="s">
        <v>69</v>
      </c>
      <c r="J43" s="15"/>
      <c r="K43" s="15"/>
      <c r="L43" s="15"/>
    </row>
    <row r="44" spans="1:16" x14ac:dyDescent="0.4">
      <c r="A44" t="s">
        <v>93</v>
      </c>
      <c r="B44" t="s">
        <v>94</v>
      </c>
      <c r="C44" t="s">
        <v>1045</v>
      </c>
      <c r="D44" t="s">
        <v>1046</v>
      </c>
      <c r="E44" t="s">
        <v>986</v>
      </c>
      <c r="F44" t="s">
        <v>1047</v>
      </c>
      <c r="G44" t="s">
        <v>1048</v>
      </c>
      <c r="H44" t="s">
        <v>972</v>
      </c>
      <c r="I44" s="28" t="s">
        <v>95</v>
      </c>
      <c r="J44" s="15"/>
      <c r="K44" s="15"/>
      <c r="L44" s="15"/>
    </row>
    <row r="45" spans="1:16" x14ac:dyDescent="0.4">
      <c r="A45" t="s">
        <v>96</v>
      </c>
      <c r="B45" t="s">
        <v>97</v>
      </c>
      <c r="C45" t="s">
        <v>23</v>
      </c>
      <c r="D45" t="s">
        <v>1005</v>
      </c>
      <c r="E45" t="s">
        <v>933</v>
      </c>
      <c r="F45" t="s">
        <v>1022</v>
      </c>
      <c r="G45" t="s">
        <v>920</v>
      </c>
      <c r="H45" t="s">
        <v>80</v>
      </c>
      <c r="I45" s="28" t="s">
        <v>98</v>
      </c>
      <c r="J45" s="15"/>
      <c r="K45" s="15"/>
      <c r="L45" s="15"/>
    </row>
    <row r="46" spans="1:16" x14ac:dyDescent="0.4">
      <c r="A46" s="1" t="s">
        <v>34</v>
      </c>
      <c r="C46" s="15"/>
      <c r="D46" s="15"/>
      <c r="E46" s="15"/>
      <c r="F46" s="15"/>
      <c r="G46" s="15"/>
      <c r="I46" s="15"/>
      <c r="J46" s="15"/>
      <c r="K46" s="15"/>
      <c r="L46" s="15"/>
    </row>
    <row r="47" spans="1:16" x14ac:dyDescent="0.4">
      <c r="A47" s="11" t="s">
        <v>71</v>
      </c>
      <c r="C47" s="15"/>
      <c r="D47" s="15"/>
      <c r="E47" s="15"/>
      <c r="F47" s="15"/>
      <c r="G47" s="15"/>
      <c r="I47" s="15"/>
      <c r="J47" s="15"/>
      <c r="K47" s="15"/>
      <c r="L47" s="15"/>
    </row>
    <row r="48" spans="1:16" x14ac:dyDescent="0.4"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spans="1:16" x14ac:dyDescent="0.4">
      <c r="A49" s="29" t="s">
        <v>99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</row>
    <row r="50" spans="1:16" x14ac:dyDescent="0.4">
      <c r="A50" t="s">
        <v>100</v>
      </c>
      <c r="B50" t="s">
        <v>101</v>
      </c>
      <c r="C50" t="s">
        <v>17</v>
      </c>
      <c r="D50" t="s">
        <v>1021</v>
      </c>
      <c r="E50" t="s">
        <v>918</v>
      </c>
      <c r="F50" t="s">
        <v>1022</v>
      </c>
      <c r="G50" t="s">
        <v>1023</v>
      </c>
      <c r="H50" t="s">
        <v>1003</v>
      </c>
      <c r="I50" s="28" t="s">
        <v>102</v>
      </c>
      <c r="J50" s="15"/>
      <c r="K50" s="15"/>
      <c r="L50" s="15"/>
    </row>
    <row r="51" spans="1:16" x14ac:dyDescent="0.4">
      <c r="A51" t="s">
        <v>103</v>
      </c>
      <c r="B51" t="s">
        <v>104</v>
      </c>
      <c r="C51" t="s">
        <v>23</v>
      </c>
      <c r="D51" t="s">
        <v>1024</v>
      </c>
      <c r="E51" t="s">
        <v>925</v>
      </c>
      <c r="F51" t="s">
        <v>956</v>
      </c>
      <c r="G51" t="s">
        <v>1025</v>
      </c>
      <c r="H51" t="s">
        <v>925</v>
      </c>
      <c r="I51" s="28" t="s">
        <v>105</v>
      </c>
      <c r="J51" s="15"/>
      <c r="K51" s="15"/>
      <c r="L51" s="15"/>
    </row>
    <row r="52" spans="1:16" x14ac:dyDescent="0.4">
      <c r="A52" s="3" t="s">
        <v>106</v>
      </c>
      <c r="B52" t="s">
        <v>47</v>
      </c>
      <c r="C52" t="s">
        <v>68</v>
      </c>
      <c r="D52" t="s">
        <v>1026</v>
      </c>
      <c r="E52" t="s">
        <v>925</v>
      </c>
      <c r="F52" t="s">
        <v>1027</v>
      </c>
      <c r="G52" t="s">
        <v>913</v>
      </c>
      <c r="H52" t="s">
        <v>925</v>
      </c>
      <c r="I52" s="28" t="s">
        <v>107</v>
      </c>
      <c r="J52" s="15"/>
      <c r="K52" s="15"/>
      <c r="L52" s="15"/>
    </row>
    <row r="53" spans="1:16" x14ac:dyDescent="0.4">
      <c r="A53" s="3" t="s">
        <v>108</v>
      </c>
      <c r="B53" t="s">
        <v>109</v>
      </c>
      <c r="C53" t="s">
        <v>109</v>
      </c>
      <c r="D53" t="s">
        <v>948</v>
      </c>
      <c r="E53" t="s">
        <v>925</v>
      </c>
      <c r="F53" t="s">
        <v>979</v>
      </c>
      <c r="G53" t="s">
        <v>925</v>
      </c>
      <c r="H53" t="s">
        <v>925</v>
      </c>
      <c r="I53" s="28" t="s">
        <v>110</v>
      </c>
      <c r="J53" s="15"/>
      <c r="K53" s="15"/>
      <c r="L53" s="15"/>
    </row>
    <row r="54" spans="1:16" x14ac:dyDescent="0.4">
      <c r="A54" t="s">
        <v>111</v>
      </c>
      <c r="B54" t="s">
        <v>109</v>
      </c>
      <c r="C54" t="s">
        <v>68</v>
      </c>
      <c r="D54" t="s">
        <v>948</v>
      </c>
      <c r="E54" t="s">
        <v>925</v>
      </c>
      <c r="F54" t="s">
        <v>1028</v>
      </c>
      <c r="G54" t="s">
        <v>925</v>
      </c>
      <c r="H54" t="s">
        <v>925</v>
      </c>
      <c r="I54" s="28" t="s">
        <v>112</v>
      </c>
      <c r="J54" s="15"/>
      <c r="K54" s="15"/>
      <c r="L54" s="15"/>
    </row>
    <row r="55" spans="1:16" x14ac:dyDescent="0.4">
      <c r="A55" t="s">
        <v>113</v>
      </c>
      <c r="B55" t="s">
        <v>114</v>
      </c>
      <c r="C55" t="s">
        <v>17</v>
      </c>
      <c r="D55" t="s">
        <v>912</v>
      </c>
      <c r="E55" t="s">
        <v>1007</v>
      </c>
      <c r="F55" t="s">
        <v>1029</v>
      </c>
      <c r="G55" t="s">
        <v>1025</v>
      </c>
      <c r="H55" t="s">
        <v>972</v>
      </c>
      <c r="I55" s="28" t="s">
        <v>115</v>
      </c>
      <c r="J55" s="15"/>
      <c r="K55" s="15"/>
      <c r="L55" s="15"/>
    </row>
    <row r="56" spans="1:16" x14ac:dyDescent="0.4">
      <c r="A56" t="s">
        <v>116</v>
      </c>
      <c r="B56">
        <v>2</v>
      </c>
      <c r="C56" t="s">
        <v>928</v>
      </c>
      <c r="D56" t="s">
        <v>966</v>
      </c>
      <c r="E56" t="s">
        <v>967</v>
      </c>
      <c r="F56" t="s">
        <v>968</v>
      </c>
      <c r="G56" t="s">
        <v>969</v>
      </c>
      <c r="H56" t="s">
        <v>970</v>
      </c>
      <c r="I56" s="28" t="s">
        <v>117</v>
      </c>
      <c r="J56" s="15"/>
      <c r="K56" s="15"/>
      <c r="L56" s="15"/>
    </row>
    <row r="57" spans="1:16" x14ac:dyDescent="0.4">
      <c r="A57" t="s">
        <v>118</v>
      </c>
      <c r="B57" t="s">
        <v>119</v>
      </c>
      <c r="C57" t="s">
        <v>23</v>
      </c>
      <c r="D57" t="s">
        <v>958</v>
      </c>
      <c r="E57" t="s">
        <v>1030</v>
      </c>
      <c r="F57" t="s">
        <v>956</v>
      </c>
      <c r="G57" t="s">
        <v>925</v>
      </c>
      <c r="H57" t="s">
        <v>925</v>
      </c>
      <c r="I57" s="28" t="s">
        <v>120</v>
      </c>
      <c r="J57" s="15"/>
      <c r="K57" s="15"/>
      <c r="L57" s="15"/>
    </row>
    <row r="58" spans="1:16" x14ac:dyDescent="0.4">
      <c r="A58" s="1" t="s">
        <v>34</v>
      </c>
      <c r="C58" s="15"/>
      <c r="D58" s="15"/>
      <c r="E58" s="15"/>
      <c r="F58" s="15"/>
      <c r="G58" s="15"/>
      <c r="I58" s="15"/>
      <c r="J58" s="15"/>
      <c r="K58" s="15"/>
      <c r="L58" s="15"/>
    </row>
    <row r="59" spans="1:16" x14ac:dyDescent="0.4">
      <c r="A59" s="13" t="s">
        <v>121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spans="1:16" x14ac:dyDescent="0.4"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spans="1:16" x14ac:dyDescent="0.4">
      <c r="A61" s="29" t="s">
        <v>122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30"/>
    </row>
    <row r="62" spans="1:16" x14ac:dyDescent="0.4">
      <c r="A62" t="s">
        <v>123</v>
      </c>
      <c r="B62" t="s">
        <v>124</v>
      </c>
      <c r="C62" t="s">
        <v>17</v>
      </c>
      <c r="D62" t="s">
        <v>1011</v>
      </c>
      <c r="E62" t="s">
        <v>947</v>
      </c>
      <c r="F62" t="s">
        <v>997</v>
      </c>
      <c r="G62" t="s">
        <v>84</v>
      </c>
      <c r="H62" t="s">
        <v>1012</v>
      </c>
      <c r="I62" s="28" t="s">
        <v>125</v>
      </c>
      <c r="J62" s="15"/>
      <c r="K62" s="15"/>
      <c r="L62" s="15"/>
    </row>
    <row r="63" spans="1:16" x14ac:dyDescent="0.4">
      <c r="A63" t="s">
        <v>126</v>
      </c>
      <c r="B63" t="s">
        <v>127</v>
      </c>
      <c r="C63" t="s">
        <v>128</v>
      </c>
      <c r="D63" t="s">
        <v>129</v>
      </c>
      <c r="E63" t="s">
        <v>130</v>
      </c>
      <c r="F63" t="s">
        <v>131</v>
      </c>
      <c r="G63" t="s">
        <v>24</v>
      </c>
      <c r="H63" t="s">
        <v>132</v>
      </c>
      <c r="I63" s="28" t="s">
        <v>133</v>
      </c>
      <c r="J63" s="15"/>
      <c r="K63" s="15"/>
      <c r="L63" s="15"/>
    </row>
    <row r="64" spans="1:16" x14ac:dyDescent="0.4">
      <c r="A64" t="s">
        <v>134</v>
      </c>
      <c r="B64" t="s">
        <v>38</v>
      </c>
      <c r="C64" t="s">
        <v>38</v>
      </c>
      <c r="D64" t="s">
        <v>1013</v>
      </c>
      <c r="E64" t="s">
        <v>135</v>
      </c>
      <c r="F64" t="s">
        <v>1014</v>
      </c>
      <c r="G64" t="s">
        <v>941</v>
      </c>
      <c r="H64" t="s">
        <v>1015</v>
      </c>
      <c r="I64" s="28" t="s">
        <v>136</v>
      </c>
      <c r="J64" s="15"/>
      <c r="K64" s="15"/>
      <c r="L64" s="15"/>
    </row>
    <row r="65" spans="1:16" x14ac:dyDescent="0.4">
      <c r="A65" s="3" t="s">
        <v>137</v>
      </c>
      <c r="B65" t="s">
        <v>138</v>
      </c>
      <c r="C65" t="s">
        <v>17</v>
      </c>
      <c r="D65" t="s">
        <v>1016</v>
      </c>
      <c r="E65" t="s">
        <v>1004</v>
      </c>
      <c r="F65" t="s">
        <v>1017</v>
      </c>
      <c r="G65" t="s">
        <v>1018</v>
      </c>
      <c r="H65" t="s">
        <v>1007</v>
      </c>
      <c r="I65" s="28" t="s">
        <v>139</v>
      </c>
      <c r="J65" s="15"/>
      <c r="K65" s="15"/>
      <c r="L65" s="15"/>
    </row>
    <row r="66" spans="1:16" x14ac:dyDescent="0.4">
      <c r="A66" t="s">
        <v>140</v>
      </c>
      <c r="B66" t="s">
        <v>22</v>
      </c>
      <c r="C66" t="s">
        <v>104</v>
      </c>
      <c r="D66" t="s">
        <v>1019</v>
      </c>
      <c r="E66" t="s">
        <v>1020</v>
      </c>
      <c r="F66" t="s">
        <v>964</v>
      </c>
      <c r="G66" t="s">
        <v>1007</v>
      </c>
      <c r="H66" t="s">
        <v>913</v>
      </c>
      <c r="I66" s="28" t="s">
        <v>141</v>
      </c>
      <c r="J66" s="15"/>
      <c r="K66" s="15"/>
      <c r="L66" s="15"/>
    </row>
    <row r="67" spans="1:16" x14ac:dyDescent="0.4">
      <c r="A67" s="1" t="s">
        <v>34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spans="1:16" x14ac:dyDescent="0.4">
      <c r="A68" s="13" t="s">
        <v>142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spans="1:16" x14ac:dyDescent="0.4"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spans="1:16" x14ac:dyDescent="0.4">
      <c r="A70" s="29" t="s">
        <v>143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30"/>
    </row>
    <row r="71" spans="1:16" x14ac:dyDescent="0.4">
      <c r="A71" t="s">
        <v>144</v>
      </c>
      <c r="B71">
        <v>3</v>
      </c>
      <c r="C71" t="s">
        <v>981</v>
      </c>
      <c r="D71" t="s">
        <v>995</v>
      </c>
      <c r="E71" t="s">
        <v>996</v>
      </c>
      <c r="F71" t="s">
        <v>997</v>
      </c>
      <c r="G71" t="s">
        <v>998</v>
      </c>
      <c r="H71" t="s">
        <v>933</v>
      </c>
      <c r="I71" s="15"/>
      <c r="J71" s="15"/>
      <c r="K71" s="15"/>
      <c r="L71" s="15"/>
    </row>
    <row r="72" spans="1:16" x14ac:dyDescent="0.4">
      <c r="A72" t="s">
        <v>145</v>
      </c>
      <c r="B72">
        <v>1</v>
      </c>
      <c r="C72" t="s">
        <v>981</v>
      </c>
      <c r="D72" t="s">
        <v>999</v>
      </c>
      <c r="E72" t="s">
        <v>924</v>
      </c>
      <c r="F72" t="s">
        <v>1000</v>
      </c>
      <c r="G72" t="s">
        <v>1001</v>
      </c>
      <c r="H72" t="s">
        <v>991</v>
      </c>
      <c r="I72" s="15"/>
      <c r="J72" s="15"/>
      <c r="K72" s="15"/>
      <c r="L72" s="15"/>
    </row>
    <row r="73" spans="1:16" x14ac:dyDescent="0.4">
      <c r="A73" t="s">
        <v>146</v>
      </c>
      <c r="B73">
        <v>1</v>
      </c>
      <c r="C73" t="s">
        <v>64</v>
      </c>
      <c r="D73" t="s">
        <v>1002</v>
      </c>
      <c r="E73" t="s">
        <v>925</v>
      </c>
      <c r="F73" t="s">
        <v>985</v>
      </c>
      <c r="G73" t="s">
        <v>1003</v>
      </c>
      <c r="H73" t="s">
        <v>1004</v>
      </c>
      <c r="I73" s="15"/>
      <c r="J73" s="15"/>
      <c r="K73" s="15"/>
      <c r="L73" s="15"/>
    </row>
    <row r="74" spans="1:16" x14ac:dyDescent="0.4">
      <c r="A74" t="s">
        <v>147</v>
      </c>
      <c r="B74" t="s">
        <v>148</v>
      </c>
      <c r="C74" t="s">
        <v>975</v>
      </c>
      <c r="D74" t="s">
        <v>993</v>
      </c>
      <c r="E74" t="s">
        <v>994</v>
      </c>
      <c r="F74" t="s">
        <v>956</v>
      </c>
      <c r="G74" t="s">
        <v>925</v>
      </c>
      <c r="H74" t="s">
        <v>925</v>
      </c>
      <c r="I74" s="15"/>
      <c r="J74" s="15"/>
      <c r="K74" s="15"/>
      <c r="L74" s="15"/>
    </row>
    <row r="75" spans="1:16" x14ac:dyDescent="0.4">
      <c r="A75" t="s">
        <v>73</v>
      </c>
      <c r="B75" t="s">
        <v>149</v>
      </c>
      <c r="C75" t="s">
        <v>149</v>
      </c>
      <c r="D75" t="s">
        <v>977</v>
      </c>
      <c r="E75" t="s">
        <v>978</v>
      </c>
      <c r="F75" t="s">
        <v>979</v>
      </c>
      <c r="G75" t="s">
        <v>925</v>
      </c>
      <c r="H75" t="s">
        <v>980</v>
      </c>
      <c r="I75" s="15"/>
      <c r="J75" s="15"/>
      <c r="K75" s="15"/>
      <c r="L75" s="15"/>
    </row>
    <row r="76" spans="1:16" x14ac:dyDescent="0.4">
      <c r="A76" t="s">
        <v>150</v>
      </c>
      <c r="B76" t="s">
        <v>101</v>
      </c>
      <c r="C76" t="s">
        <v>17</v>
      </c>
      <c r="D76" t="s">
        <v>1005</v>
      </c>
      <c r="E76" t="s">
        <v>925</v>
      </c>
      <c r="F76" t="s">
        <v>1006</v>
      </c>
      <c r="G76" t="s">
        <v>913</v>
      </c>
      <c r="H76" t="s">
        <v>1007</v>
      </c>
      <c r="I76" s="15"/>
      <c r="J76" s="15"/>
      <c r="K76" s="15"/>
      <c r="L76" s="15"/>
    </row>
    <row r="77" spans="1:16" x14ac:dyDescent="0.4">
      <c r="A77" t="s">
        <v>151</v>
      </c>
      <c r="B77" t="s">
        <v>17</v>
      </c>
      <c r="C77" t="s">
        <v>954</v>
      </c>
      <c r="D77" t="s">
        <v>955</v>
      </c>
      <c r="E77" t="s">
        <v>920</v>
      </c>
      <c r="F77" t="s">
        <v>956</v>
      </c>
      <c r="G77" t="s">
        <v>957</v>
      </c>
      <c r="H77" t="s">
        <v>932</v>
      </c>
      <c r="I77" s="15"/>
      <c r="J77" s="15"/>
      <c r="K77" s="15"/>
      <c r="L77" s="15"/>
    </row>
    <row r="78" spans="1:16" x14ac:dyDescent="0.4">
      <c r="A78" t="s">
        <v>152</v>
      </c>
      <c r="B78" t="s">
        <v>68</v>
      </c>
      <c r="C78" t="s">
        <v>68</v>
      </c>
      <c r="D78" t="s">
        <v>1008</v>
      </c>
      <c r="E78" t="s">
        <v>947</v>
      </c>
      <c r="F78" t="s">
        <v>946</v>
      </c>
      <c r="G78" t="s">
        <v>991</v>
      </c>
      <c r="H78" t="s">
        <v>947</v>
      </c>
      <c r="I78" s="15"/>
      <c r="J78" s="15"/>
      <c r="K78" s="15"/>
      <c r="L78" s="15"/>
    </row>
    <row r="79" spans="1:16" x14ac:dyDescent="0.4">
      <c r="A79" t="s">
        <v>111</v>
      </c>
      <c r="B79" t="s">
        <v>68</v>
      </c>
      <c r="C79" t="s">
        <v>68</v>
      </c>
      <c r="D79" t="s">
        <v>948</v>
      </c>
      <c r="E79" t="s">
        <v>925</v>
      </c>
      <c r="F79" t="s">
        <v>949</v>
      </c>
      <c r="G79" t="s">
        <v>925</v>
      </c>
      <c r="H79" t="s">
        <v>925</v>
      </c>
      <c r="I79" s="15"/>
      <c r="J79" s="15"/>
      <c r="K79" s="15"/>
      <c r="L79" s="15"/>
    </row>
    <row r="80" spans="1:16" x14ac:dyDescent="0.4">
      <c r="A80" t="s">
        <v>153</v>
      </c>
      <c r="B80" t="s">
        <v>148</v>
      </c>
      <c r="C80" t="s">
        <v>975</v>
      </c>
      <c r="D80" t="s">
        <v>1009</v>
      </c>
      <c r="E80" t="s">
        <v>925</v>
      </c>
      <c r="F80" t="s">
        <v>946</v>
      </c>
      <c r="G80" t="s">
        <v>933</v>
      </c>
      <c r="H80" t="s">
        <v>920</v>
      </c>
      <c r="I80" s="15"/>
      <c r="J80" s="15"/>
      <c r="K80" s="15"/>
      <c r="L80" s="15"/>
    </row>
    <row r="81" spans="1:16" x14ac:dyDescent="0.4">
      <c r="A81" t="s">
        <v>154</v>
      </c>
      <c r="B81" t="s">
        <v>68</v>
      </c>
      <c r="C81" t="s">
        <v>68</v>
      </c>
      <c r="D81" t="s">
        <v>1010</v>
      </c>
      <c r="E81" t="s">
        <v>925</v>
      </c>
      <c r="F81" t="s">
        <v>956</v>
      </c>
      <c r="G81" t="s">
        <v>920</v>
      </c>
      <c r="H81" t="s">
        <v>925</v>
      </c>
      <c r="I81" s="15"/>
      <c r="J81" s="15"/>
      <c r="K81" s="15"/>
      <c r="L81" s="15"/>
    </row>
    <row r="82" spans="1:16" x14ac:dyDescent="0.4">
      <c r="A82" t="s">
        <v>155</v>
      </c>
      <c r="B82" t="s">
        <v>68</v>
      </c>
      <c r="C82" t="s">
        <v>68</v>
      </c>
      <c r="D82" t="s">
        <v>1008</v>
      </c>
      <c r="E82" t="s">
        <v>947</v>
      </c>
      <c r="F82" t="s">
        <v>956</v>
      </c>
      <c r="G82" t="s">
        <v>920</v>
      </c>
      <c r="H82" t="s">
        <v>947</v>
      </c>
      <c r="I82" s="15"/>
      <c r="J82" s="15"/>
      <c r="K82" s="15"/>
      <c r="L82" s="15"/>
    </row>
    <row r="83" spans="1:16" x14ac:dyDescent="0.4">
      <c r="A83" s="1" t="s">
        <v>34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spans="1:16" x14ac:dyDescent="0.4">
      <c r="A84" s="11" t="s">
        <v>71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spans="1:16" x14ac:dyDescent="0.4"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spans="1:16" x14ac:dyDescent="0.4">
      <c r="A86" s="29" t="s">
        <v>156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30"/>
    </row>
    <row r="87" spans="1:16" x14ac:dyDescent="0.4">
      <c r="A87" t="s">
        <v>73</v>
      </c>
      <c r="B87" t="s">
        <v>149</v>
      </c>
      <c r="C87" s="3" t="s">
        <v>149</v>
      </c>
      <c r="D87" s="3" t="s">
        <v>977</v>
      </c>
      <c r="E87" s="3" t="s">
        <v>978</v>
      </c>
      <c r="F87" s="3" t="s">
        <v>979</v>
      </c>
      <c r="G87" s="3" t="s">
        <v>925</v>
      </c>
      <c r="H87" s="3" t="s">
        <v>980</v>
      </c>
      <c r="I87" s="15"/>
      <c r="J87" s="15"/>
      <c r="K87" s="15"/>
      <c r="L87" s="15"/>
    </row>
    <row r="88" spans="1:16" x14ac:dyDescent="0.4">
      <c r="A88" t="s">
        <v>145</v>
      </c>
      <c r="B88" s="9">
        <v>0.5</v>
      </c>
      <c r="C88" s="3" t="s">
        <v>981</v>
      </c>
      <c r="D88" s="3" t="s">
        <v>982</v>
      </c>
      <c r="E88" s="3" t="s">
        <v>924</v>
      </c>
      <c r="F88" s="3" t="s">
        <v>39</v>
      </c>
      <c r="G88" s="3" t="s">
        <v>983</v>
      </c>
      <c r="H88" s="3" t="s">
        <v>87</v>
      </c>
      <c r="I88" s="15"/>
      <c r="J88" s="15"/>
      <c r="K88" s="15"/>
      <c r="L88" s="15"/>
    </row>
    <row r="89" spans="1:16" x14ac:dyDescent="0.4">
      <c r="A89" t="s">
        <v>157</v>
      </c>
      <c r="B89" s="8" t="s">
        <v>17</v>
      </c>
      <c r="C89" s="3" t="s">
        <v>17</v>
      </c>
      <c r="D89" s="3" t="s">
        <v>984</v>
      </c>
      <c r="E89" s="3" t="s">
        <v>943</v>
      </c>
      <c r="F89" s="3" t="s">
        <v>985</v>
      </c>
      <c r="G89" s="3" t="s">
        <v>986</v>
      </c>
      <c r="H89" s="3" t="s">
        <v>987</v>
      </c>
      <c r="I89" s="15"/>
      <c r="J89" s="15"/>
      <c r="K89" s="15"/>
      <c r="L89" s="15"/>
    </row>
    <row r="90" spans="1:16" x14ac:dyDescent="0.4">
      <c r="A90" t="s">
        <v>158</v>
      </c>
      <c r="B90">
        <v>1</v>
      </c>
      <c r="C90" s="3" t="s">
        <v>928</v>
      </c>
      <c r="D90" s="3" t="s">
        <v>988</v>
      </c>
      <c r="E90" s="3" t="s">
        <v>943</v>
      </c>
      <c r="F90" s="3" t="s">
        <v>989</v>
      </c>
      <c r="G90" s="3" t="s">
        <v>937</v>
      </c>
      <c r="H90" s="3" t="s">
        <v>918</v>
      </c>
      <c r="I90" s="15"/>
      <c r="J90" s="15"/>
      <c r="K90" s="15"/>
      <c r="L90" s="15"/>
    </row>
    <row r="91" spans="1:16" x14ac:dyDescent="0.4">
      <c r="A91" t="s">
        <v>43</v>
      </c>
      <c r="B91" t="s">
        <v>38</v>
      </c>
      <c r="C91" s="3" t="s">
        <v>17</v>
      </c>
      <c r="D91" s="3" t="s">
        <v>990</v>
      </c>
      <c r="E91" s="3" t="s">
        <v>991</v>
      </c>
      <c r="F91" s="3" t="s">
        <v>992</v>
      </c>
      <c r="G91" s="3" t="s">
        <v>933</v>
      </c>
      <c r="H91" s="3" t="s">
        <v>913</v>
      </c>
      <c r="I91" s="15"/>
      <c r="J91" s="15"/>
      <c r="K91" s="15"/>
      <c r="L91" s="15"/>
    </row>
    <row r="92" spans="1:16" x14ac:dyDescent="0.4">
      <c r="A92" t="s">
        <v>111</v>
      </c>
      <c r="B92" t="s">
        <v>68</v>
      </c>
      <c r="C92" s="3" t="s">
        <v>68</v>
      </c>
      <c r="D92" s="3" t="s">
        <v>948</v>
      </c>
      <c r="E92" s="3" t="s">
        <v>925</v>
      </c>
      <c r="F92" s="3" t="s">
        <v>949</v>
      </c>
      <c r="G92" s="3" t="s">
        <v>925</v>
      </c>
      <c r="H92" s="3" t="s">
        <v>925</v>
      </c>
      <c r="I92" s="15"/>
      <c r="J92" s="15"/>
      <c r="K92" s="15"/>
      <c r="L92" s="15"/>
    </row>
    <row r="93" spans="1:16" x14ac:dyDescent="0.4">
      <c r="A93" t="s">
        <v>147</v>
      </c>
      <c r="B93" t="s">
        <v>148</v>
      </c>
      <c r="C93" s="3" t="s">
        <v>975</v>
      </c>
      <c r="D93" s="3" t="s">
        <v>993</v>
      </c>
      <c r="E93" s="3" t="s">
        <v>994</v>
      </c>
      <c r="F93" s="3" t="s">
        <v>956</v>
      </c>
      <c r="G93" s="3" t="s">
        <v>925</v>
      </c>
      <c r="H93" s="3" t="s">
        <v>925</v>
      </c>
      <c r="I93" s="15"/>
      <c r="J93" s="15"/>
      <c r="K93" s="15"/>
      <c r="L93" s="15"/>
    </row>
    <row r="94" spans="1:16" x14ac:dyDescent="0.4">
      <c r="A94" s="1" t="s">
        <v>34</v>
      </c>
      <c r="C94" s="15"/>
      <c r="D94" s="15"/>
      <c r="E94" s="15"/>
      <c r="F94" s="15"/>
      <c r="G94" s="15"/>
      <c r="I94" s="15"/>
      <c r="J94" s="15"/>
      <c r="K94" s="15"/>
      <c r="L94" s="15"/>
    </row>
    <row r="95" spans="1:16" x14ac:dyDescent="0.4">
      <c r="A95" s="11" t="s">
        <v>71</v>
      </c>
      <c r="C95" s="15"/>
      <c r="D95" s="15"/>
      <c r="E95" s="15"/>
      <c r="F95" s="15"/>
      <c r="G95" s="15"/>
      <c r="I95" s="15"/>
      <c r="J95" s="15"/>
      <c r="K95" s="15"/>
      <c r="L95" s="15"/>
    </row>
    <row r="96" spans="1:16" x14ac:dyDescent="0.4">
      <c r="C96" s="15"/>
      <c r="D96" s="15"/>
      <c r="E96" s="15"/>
      <c r="F96" s="15"/>
      <c r="G96" s="15"/>
      <c r="H96" s="15"/>
      <c r="I96" s="15"/>
      <c r="J96" s="15"/>
      <c r="K96" s="15"/>
      <c r="L96" s="15"/>
    </row>
    <row r="97" spans="1:16" x14ac:dyDescent="0.4">
      <c r="A97" s="29" t="s">
        <v>159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30"/>
    </row>
    <row r="98" spans="1:16" x14ac:dyDescent="0.4">
      <c r="A98" t="s">
        <v>73</v>
      </c>
      <c r="B98" t="s">
        <v>160</v>
      </c>
      <c r="C98" s="3" t="s">
        <v>149</v>
      </c>
      <c r="D98" s="3" t="s">
        <v>950</v>
      </c>
      <c r="E98" s="3" t="s">
        <v>951</v>
      </c>
      <c r="F98" s="3" t="s">
        <v>952</v>
      </c>
      <c r="G98" s="3" t="s">
        <v>925</v>
      </c>
      <c r="H98" s="3" t="s">
        <v>953</v>
      </c>
      <c r="I98" s="15"/>
      <c r="J98" s="15"/>
      <c r="K98" s="15"/>
      <c r="L98" s="15"/>
    </row>
    <row r="99" spans="1:16" x14ac:dyDescent="0.4">
      <c r="A99" t="s">
        <v>161</v>
      </c>
      <c r="B99" t="s">
        <v>17</v>
      </c>
      <c r="C99" s="3" t="s">
        <v>954</v>
      </c>
      <c r="D99" s="3" t="s">
        <v>955</v>
      </c>
      <c r="E99" s="3" t="s">
        <v>920</v>
      </c>
      <c r="F99" s="3" t="s">
        <v>956</v>
      </c>
      <c r="G99" s="3" t="s">
        <v>957</v>
      </c>
      <c r="H99" s="3" t="s">
        <v>932</v>
      </c>
      <c r="I99" s="15"/>
      <c r="J99" s="15"/>
      <c r="K99" s="15"/>
      <c r="L99" s="15"/>
    </row>
    <row r="100" spans="1:16" x14ac:dyDescent="0.4">
      <c r="A100" t="s">
        <v>162</v>
      </c>
      <c r="B100">
        <v>2</v>
      </c>
      <c r="C100" s="3" t="s">
        <v>928</v>
      </c>
      <c r="D100" s="3" t="s">
        <v>958</v>
      </c>
      <c r="E100" s="3" t="s">
        <v>959</v>
      </c>
      <c r="F100" s="3" t="s">
        <v>960</v>
      </c>
      <c r="G100" s="3" t="s">
        <v>961</v>
      </c>
      <c r="H100" s="3" t="s">
        <v>918</v>
      </c>
      <c r="I100" s="15"/>
      <c r="J100" s="15"/>
      <c r="K100" s="15"/>
      <c r="L100" s="15"/>
    </row>
    <row r="101" spans="1:16" x14ac:dyDescent="0.4">
      <c r="A101" t="s">
        <v>163</v>
      </c>
      <c r="B101" t="s">
        <v>17</v>
      </c>
      <c r="C101" s="3" t="s">
        <v>17</v>
      </c>
      <c r="D101" s="3" t="s">
        <v>962</v>
      </c>
      <c r="E101" s="3" t="s">
        <v>963</v>
      </c>
      <c r="F101" s="3" t="s">
        <v>964</v>
      </c>
      <c r="G101" s="3" t="s">
        <v>913</v>
      </c>
      <c r="H101" s="3" t="s">
        <v>965</v>
      </c>
      <c r="I101" s="15"/>
      <c r="J101" s="15"/>
      <c r="K101" s="15"/>
      <c r="L101" s="15"/>
    </row>
    <row r="102" spans="1:16" x14ac:dyDescent="0.4">
      <c r="A102" t="s">
        <v>158</v>
      </c>
      <c r="B102">
        <v>2</v>
      </c>
      <c r="C102" s="3" t="s">
        <v>928</v>
      </c>
      <c r="D102" s="3" t="s">
        <v>966</v>
      </c>
      <c r="E102" s="3" t="s">
        <v>967</v>
      </c>
      <c r="F102" s="3" t="s">
        <v>968</v>
      </c>
      <c r="G102" s="3" t="s">
        <v>969</v>
      </c>
      <c r="H102" s="3" t="s">
        <v>970</v>
      </c>
      <c r="I102" s="15"/>
      <c r="J102" s="15"/>
      <c r="K102" s="15"/>
      <c r="L102" s="15"/>
    </row>
    <row r="103" spans="1:16" x14ac:dyDescent="0.4">
      <c r="A103" t="s">
        <v>164</v>
      </c>
      <c r="B103">
        <v>4</v>
      </c>
      <c r="C103" s="3" t="s">
        <v>928</v>
      </c>
      <c r="D103" s="3" t="s">
        <v>971</v>
      </c>
      <c r="E103" s="3" t="s">
        <v>972</v>
      </c>
      <c r="F103" s="3" t="s">
        <v>973</v>
      </c>
      <c r="G103" s="3" t="s">
        <v>974</v>
      </c>
      <c r="H103" s="3" t="s">
        <v>972</v>
      </c>
      <c r="I103" s="15"/>
      <c r="J103" s="15"/>
      <c r="K103" s="15"/>
      <c r="L103" s="15"/>
    </row>
    <row r="104" spans="1:16" x14ac:dyDescent="0.4">
      <c r="A104" t="s">
        <v>147</v>
      </c>
      <c r="B104" t="s">
        <v>22</v>
      </c>
      <c r="C104" s="3" t="s">
        <v>975</v>
      </c>
      <c r="D104" s="3" t="s">
        <v>976</v>
      </c>
      <c r="E104" s="3" t="s">
        <v>965</v>
      </c>
      <c r="F104" s="3" t="s">
        <v>956</v>
      </c>
      <c r="G104" s="3" t="s">
        <v>925</v>
      </c>
      <c r="H104" s="3" t="s">
        <v>925</v>
      </c>
      <c r="I104" s="15"/>
      <c r="J104" s="15"/>
      <c r="K104" s="15"/>
      <c r="L104" s="15"/>
    </row>
    <row r="105" spans="1:16" x14ac:dyDescent="0.4">
      <c r="A105" s="1" t="s">
        <v>34</v>
      </c>
      <c r="C105" s="15"/>
      <c r="D105" s="15"/>
      <c r="E105" s="15"/>
      <c r="F105" s="15"/>
      <c r="G105" s="15"/>
      <c r="I105" s="15"/>
      <c r="J105" s="15"/>
      <c r="K105" s="15"/>
      <c r="L105" s="15"/>
    </row>
    <row r="106" spans="1:16" x14ac:dyDescent="0.4">
      <c r="A106" s="11" t="s">
        <v>71</v>
      </c>
      <c r="C106" s="15"/>
      <c r="D106" s="15"/>
      <c r="E106" s="15"/>
      <c r="F106" s="15"/>
      <c r="G106" s="15"/>
      <c r="I106" s="15"/>
      <c r="J106" s="15"/>
      <c r="K106" s="15"/>
      <c r="L106" s="15"/>
    </row>
    <row r="107" spans="1:16" x14ac:dyDescent="0.4">
      <c r="C107" s="15"/>
      <c r="D107" s="15"/>
      <c r="E107" s="15"/>
      <c r="F107" s="15"/>
      <c r="G107" s="15"/>
      <c r="H107" s="15"/>
      <c r="I107" s="15"/>
      <c r="J107" s="15"/>
      <c r="K107" s="15"/>
      <c r="L107" s="15"/>
    </row>
    <row r="108" spans="1:16" x14ac:dyDescent="0.4">
      <c r="A108" s="29" t="s">
        <v>165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30"/>
    </row>
    <row r="109" spans="1:16" x14ac:dyDescent="0.4">
      <c r="A109" t="s">
        <v>166</v>
      </c>
      <c r="B109" t="s">
        <v>167</v>
      </c>
      <c r="C109" s="3" t="s">
        <v>169</v>
      </c>
      <c r="D109" s="3" t="s">
        <v>912</v>
      </c>
      <c r="E109" s="3" t="s">
        <v>913</v>
      </c>
      <c r="F109" s="3" t="s">
        <v>914</v>
      </c>
      <c r="G109" s="3" t="s">
        <v>915</v>
      </c>
      <c r="H109" s="3" t="s">
        <v>916</v>
      </c>
      <c r="I109" s="15"/>
      <c r="J109" s="15"/>
      <c r="K109" s="15"/>
      <c r="L109" s="15"/>
    </row>
    <row r="110" spans="1:16" x14ac:dyDescent="0.4">
      <c r="A110" t="s">
        <v>168</v>
      </c>
      <c r="B110" t="s">
        <v>169</v>
      </c>
      <c r="C110" s="3" t="s">
        <v>169</v>
      </c>
      <c r="D110" s="3" t="s">
        <v>917</v>
      </c>
      <c r="E110" s="3" t="s">
        <v>918</v>
      </c>
      <c r="F110" s="3" t="s">
        <v>919</v>
      </c>
      <c r="G110" s="3" t="s">
        <v>920</v>
      </c>
      <c r="H110" s="3" t="s">
        <v>918</v>
      </c>
      <c r="I110" s="15"/>
      <c r="J110" s="15"/>
      <c r="K110" s="15"/>
      <c r="L110" s="15"/>
    </row>
    <row r="111" spans="1:16" x14ac:dyDescent="0.4">
      <c r="A111" t="s">
        <v>170</v>
      </c>
      <c r="B111" t="s">
        <v>68</v>
      </c>
      <c r="C111" s="3" t="s">
        <v>68</v>
      </c>
      <c r="D111" s="3" t="s">
        <v>921</v>
      </c>
      <c r="E111" s="3" t="s">
        <v>922</v>
      </c>
      <c r="F111" s="3" t="s">
        <v>923</v>
      </c>
      <c r="G111" s="3" t="s">
        <v>924</v>
      </c>
      <c r="H111" s="3" t="s">
        <v>925</v>
      </c>
      <c r="I111" s="15"/>
      <c r="J111" s="15"/>
      <c r="K111" s="15"/>
      <c r="L111" s="15"/>
    </row>
    <row r="112" spans="1:16" x14ac:dyDescent="0.4">
      <c r="A112" t="s">
        <v>171</v>
      </c>
      <c r="B112" t="s">
        <v>172</v>
      </c>
      <c r="C112" s="3" t="s">
        <v>172</v>
      </c>
      <c r="D112" s="3" t="s">
        <v>926</v>
      </c>
      <c r="E112" s="3" t="s">
        <v>925</v>
      </c>
      <c r="F112" s="3" t="s">
        <v>927</v>
      </c>
      <c r="G112" s="3" t="s">
        <v>925</v>
      </c>
      <c r="H112" s="3" t="s">
        <v>925</v>
      </c>
      <c r="I112" s="15"/>
      <c r="J112" s="15"/>
      <c r="K112" s="15"/>
      <c r="L112" s="15"/>
    </row>
    <row r="113" spans="1:12" x14ac:dyDescent="0.4">
      <c r="A113" t="s">
        <v>162</v>
      </c>
      <c r="B113" s="8" t="s">
        <v>173</v>
      </c>
      <c r="C113" s="3" t="s">
        <v>928</v>
      </c>
      <c r="D113" s="3" t="s">
        <v>929</v>
      </c>
      <c r="E113" s="3" t="s">
        <v>930</v>
      </c>
      <c r="F113" s="3" t="s">
        <v>931</v>
      </c>
      <c r="G113" s="3" t="s">
        <v>932</v>
      </c>
      <c r="H113" s="3" t="s">
        <v>933</v>
      </c>
      <c r="I113" s="15"/>
      <c r="J113" s="15"/>
      <c r="K113" s="15"/>
      <c r="L113" s="15"/>
    </row>
    <row r="114" spans="1:12" x14ac:dyDescent="0.4">
      <c r="A114" t="s">
        <v>174</v>
      </c>
      <c r="B114" t="s">
        <v>175</v>
      </c>
      <c r="C114" s="3" t="s">
        <v>934</v>
      </c>
      <c r="D114" s="3" t="s">
        <v>935</v>
      </c>
      <c r="E114" s="3" t="s">
        <v>925</v>
      </c>
      <c r="F114" s="3" t="s">
        <v>936</v>
      </c>
      <c r="G114" s="3" t="s">
        <v>920</v>
      </c>
      <c r="H114" s="3" t="s">
        <v>937</v>
      </c>
      <c r="I114" s="15"/>
      <c r="J114" s="15"/>
      <c r="K114" s="15"/>
      <c r="L114" s="15"/>
    </row>
    <row r="115" spans="1:12" x14ac:dyDescent="0.4">
      <c r="A115" t="s">
        <v>176</v>
      </c>
      <c r="B115" t="s">
        <v>167</v>
      </c>
      <c r="C115" s="3" t="s">
        <v>169</v>
      </c>
      <c r="D115" s="3" t="s">
        <v>938</v>
      </c>
      <c r="E115" s="3" t="s">
        <v>925</v>
      </c>
      <c r="F115" s="3" t="s">
        <v>936</v>
      </c>
      <c r="G115" s="3" t="s">
        <v>913</v>
      </c>
      <c r="H115" s="3" t="s">
        <v>937</v>
      </c>
      <c r="I115" s="15"/>
      <c r="J115" s="15"/>
      <c r="K115" s="15"/>
      <c r="L115" s="15"/>
    </row>
    <row r="116" spans="1:12" x14ac:dyDescent="0.4">
      <c r="A116" t="s">
        <v>177</v>
      </c>
      <c r="B116" t="s">
        <v>173</v>
      </c>
      <c r="C116" s="3" t="s">
        <v>939</v>
      </c>
      <c r="D116" s="3" t="s">
        <v>940</v>
      </c>
      <c r="E116" s="3" t="s">
        <v>941</v>
      </c>
      <c r="F116" s="3" t="s">
        <v>942</v>
      </c>
      <c r="G116" s="3" t="s">
        <v>943</v>
      </c>
      <c r="H116" s="3" t="s">
        <v>920</v>
      </c>
      <c r="I116" s="15"/>
      <c r="J116" s="15"/>
      <c r="K116" s="15"/>
      <c r="L116" s="15"/>
    </row>
    <row r="117" spans="1:12" x14ac:dyDescent="0.4">
      <c r="A117" t="s">
        <v>178</v>
      </c>
      <c r="B117" t="s">
        <v>179</v>
      </c>
      <c r="C117" s="3" t="s">
        <v>944</v>
      </c>
      <c r="D117" s="3" t="s">
        <v>945</v>
      </c>
      <c r="E117" s="3" t="s">
        <v>925</v>
      </c>
      <c r="F117" s="3" t="s">
        <v>946</v>
      </c>
      <c r="G117" s="3" t="s">
        <v>933</v>
      </c>
      <c r="H117" s="3" t="s">
        <v>947</v>
      </c>
      <c r="I117" s="15"/>
      <c r="J117" s="15"/>
      <c r="K117" s="15"/>
      <c r="L117" s="15"/>
    </row>
    <row r="118" spans="1:12" x14ac:dyDescent="0.4">
      <c r="A118" t="s">
        <v>180</v>
      </c>
      <c r="B118" t="s">
        <v>38</v>
      </c>
      <c r="C118" s="3"/>
      <c r="D118" s="3"/>
      <c r="E118" s="3"/>
      <c r="F118" s="3"/>
      <c r="G118" s="3"/>
      <c r="H118" s="3"/>
      <c r="I118" s="15"/>
      <c r="J118" s="15"/>
      <c r="K118" s="15"/>
      <c r="L118" s="15"/>
    </row>
    <row r="119" spans="1:12" x14ac:dyDescent="0.4">
      <c r="A119" t="s">
        <v>181</v>
      </c>
      <c r="B119" t="s">
        <v>182</v>
      </c>
      <c r="C119" s="3" t="s">
        <v>68</v>
      </c>
      <c r="D119" s="3" t="s">
        <v>948</v>
      </c>
      <c r="E119" s="3" t="s">
        <v>925</v>
      </c>
      <c r="F119" s="3" t="s">
        <v>949</v>
      </c>
      <c r="G119" s="3" t="s">
        <v>925</v>
      </c>
      <c r="H119" s="3" t="s">
        <v>925</v>
      </c>
      <c r="I119" s="15"/>
      <c r="J119" s="15"/>
      <c r="K119" s="15"/>
      <c r="L119" s="15"/>
    </row>
    <row r="120" spans="1:12" x14ac:dyDescent="0.4">
      <c r="A120" s="1" t="s">
        <v>34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</row>
  </sheetData>
  <mergeCells count="11">
    <mergeCell ref="A97:P97"/>
    <mergeCell ref="A108:P108"/>
    <mergeCell ref="A2:O2"/>
    <mergeCell ref="A3:P3"/>
    <mergeCell ref="A14:P14"/>
    <mergeCell ref="A24:P24"/>
    <mergeCell ref="A35:P35"/>
    <mergeCell ref="A49:P49"/>
    <mergeCell ref="A61:P61"/>
    <mergeCell ref="A70:P70"/>
    <mergeCell ref="A86:P86"/>
  </mergeCells>
  <hyperlinks>
    <hyperlink ref="I4" r:id="rId1" xr:uid="{4330BAA8-CFCA-49DD-8235-C91B444EAD8A}"/>
    <hyperlink ref="I28" r:id="rId2" xr:uid="{F0DCAD90-D8E2-44BA-9FA8-4AB86A19608B}"/>
    <hyperlink ref="I29" r:id="rId3" xr:uid="{D3F69740-2FDC-43E4-91B2-658981B50071}"/>
    <hyperlink ref="I25" r:id="rId4" xr:uid="{2C0D8805-77E2-4D60-8862-4EDA9ADC0189}"/>
    <hyperlink ref="I27" r:id="rId5" xr:uid="{1F4F31B3-FA09-4216-A6E5-C4A6E416E877}"/>
    <hyperlink ref="I26" r:id="rId6" xr:uid="{5D4D916C-E39D-4B98-9475-AE911D0C3213}"/>
    <hyperlink ref="I36" r:id="rId7" xr:uid="{78FA9950-A1EF-46C4-B7F3-7AAFC0AA84B0}"/>
    <hyperlink ref="I37" r:id="rId8" xr:uid="{75A02C60-B44C-4AAD-AADF-ED6EE9522431}"/>
    <hyperlink ref="I38" r:id="rId9" xr:uid="{BC0A7A8A-FD1B-4256-90A1-4D07249D2C01}"/>
    <hyperlink ref="I39" r:id="rId10" xr:uid="{A5B44155-4672-470B-A9EA-C2D9250597DF}"/>
    <hyperlink ref="I40" r:id="rId11" xr:uid="{738E494B-1082-43A2-BCAF-61344CFDF375}"/>
    <hyperlink ref="I41" r:id="rId12" xr:uid="{6ECAA3D1-085C-49D4-8A5A-15B2B4FCBB9F}"/>
    <hyperlink ref="I44" r:id="rId13" xr:uid="{358FA8DE-C598-4F04-A222-44900D207E97}"/>
    <hyperlink ref="I45" r:id="rId14" xr:uid="{AB1A33B4-34BB-4932-9F39-3060313C8A94}"/>
    <hyperlink ref="I9" r:id="rId15" xr:uid="{27900574-4F2B-4577-9227-E2A802447801}"/>
    <hyperlink ref="I15" r:id="rId16" xr:uid="{4D20F906-D7E9-4E09-B610-87DD526659CC}"/>
    <hyperlink ref="I20" r:id="rId17" xr:uid="{60A7CC34-1D1C-4A8A-B91D-C9DC3CA28F21}"/>
    <hyperlink ref="I18" r:id="rId18" xr:uid="{0AC08DA0-4210-4432-831B-03ACE8FC02D3}"/>
    <hyperlink ref="I19" r:id="rId19" xr:uid="{887B4B75-0EB5-41AB-B390-DD494CBD19A6}"/>
    <hyperlink ref="I16" r:id="rId20" xr:uid="{A485CBF3-F434-45DC-8CC2-DF7CA5B7F6FA}"/>
    <hyperlink ref="I17" r:id="rId21" xr:uid="{08FDBF95-0979-443F-A7FE-E3C1E9515E75}"/>
    <hyperlink ref="I50" r:id="rId22" xr:uid="{DCFDEB1F-E4C6-4D61-B26C-74EEA52B6A27}"/>
    <hyperlink ref="I51" r:id="rId23" xr:uid="{EA5A716C-076C-43C5-8186-1D71E9A38A1F}"/>
    <hyperlink ref="I52" r:id="rId24" xr:uid="{DD39F433-0304-4B7C-9F18-3CC58C653A4F}"/>
    <hyperlink ref="I53" r:id="rId25" xr:uid="{166B140B-7336-4208-B52B-4899758D3BC4}"/>
    <hyperlink ref="I54" r:id="rId26" xr:uid="{1208BAC1-7AC9-47F1-A34F-A4AF638772B8}"/>
    <hyperlink ref="I55" r:id="rId27" xr:uid="{B671B17A-DC3C-4D70-A825-253128C9DAED}"/>
    <hyperlink ref="I56" r:id="rId28" xr:uid="{BF8FD248-913E-48D2-9FC8-2A1D427CA3CA}"/>
    <hyperlink ref="I57" r:id="rId29" xr:uid="{95C42EF6-30EE-4ADA-90B9-B30013AABE81}"/>
    <hyperlink ref="I62" r:id="rId30" xr:uid="{3B2D23A9-CE80-4876-ACD9-1FBD54866615}"/>
    <hyperlink ref="I63" r:id="rId31" xr:uid="{ECC03AA5-7C69-46DA-8076-DBB537F152AA}"/>
    <hyperlink ref="I64" r:id="rId32" xr:uid="{5C108958-F268-4CE0-B1E5-93CE93A1B7CB}"/>
    <hyperlink ref="I65" r:id="rId33" xr:uid="{15AB2E2A-5A4F-4798-9B58-FE7DF3689B2B}"/>
    <hyperlink ref="I66" r:id="rId34" xr:uid="{4B01F18E-89E6-4388-9FD3-5081B39C959F}"/>
    <hyperlink ref="I7" r:id="rId35" xr:uid="{21A3C9DE-AD08-438F-AFF9-BC3B1540FC29}"/>
    <hyperlink ref="I6" r:id="rId36" xr:uid="{42BE5334-1065-4474-8B6C-0C24B792E623}"/>
    <hyperlink ref="I10" r:id="rId37" xr:uid="{08DE0DB8-18AB-436C-954C-97C2386737A8}"/>
    <hyperlink ref="I5" r:id="rId38" xr:uid="{CED89762-7BE2-4CAB-B9CE-792BD11ADA80}"/>
    <hyperlink ref="I8" r:id="rId39" xr:uid="{45A5410D-1B7F-4A4F-A164-1C78E72A4AA1}"/>
    <hyperlink ref="J8" r:id="rId40" xr:uid="{A6F56EB8-0132-46E7-93E9-07686BE092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45A0-8330-4A65-A8DB-9D98A59DFBD1}">
  <dimension ref="A1:Q121"/>
  <sheetViews>
    <sheetView topLeftCell="B1" workbookViewId="0">
      <pane ySplit="1" topLeftCell="A60" activePane="bottomLeft" state="frozen"/>
      <selection activeCell="C1" sqref="C1"/>
      <selection pane="bottomLeft" activeCell="J33" sqref="J33"/>
    </sheetView>
  </sheetViews>
  <sheetFormatPr defaultRowHeight="14.6" x14ac:dyDescent="0.4"/>
  <cols>
    <col min="1" max="1" width="32.69140625" customWidth="1"/>
    <col min="2" max="2" width="11.53515625" bestFit="1" customWidth="1"/>
    <col min="3" max="3" width="14.84375" style="15" bestFit="1" customWidth="1"/>
    <col min="4" max="4" width="15.15234375" style="15" bestFit="1" customWidth="1"/>
    <col min="5" max="5" width="15.15234375" style="15" customWidth="1"/>
    <col min="6" max="6" width="11" style="15" bestFit="1" customWidth="1"/>
    <col min="7" max="8" width="9.15234375" style="15"/>
    <col min="9" max="9" width="10.15234375" style="15" bestFit="1" customWidth="1"/>
    <col min="10" max="10" width="11" style="15" bestFit="1" customWidth="1"/>
    <col min="11" max="12" width="9.15234375" style="15"/>
  </cols>
  <sheetData>
    <row r="1" spans="1:17" x14ac:dyDescent="0.4">
      <c r="A1" s="6" t="s">
        <v>0</v>
      </c>
      <c r="B1" s="7" t="s">
        <v>183</v>
      </c>
      <c r="C1" s="21" t="s">
        <v>184</v>
      </c>
      <c r="D1" s="21" t="s">
        <v>185</v>
      </c>
      <c r="E1" s="21" t="s">
        <v>186</v>
      </c>
      <c r="F1" s="21" t="s">
        <v>187</v>
      </c>
      <c r="G1" s="21" t="s">
        <v>188</v>
      </c>
      <c r="H1" s="21" t="s">
        <v>189</v>
      </c>
      <c r="I1" s="21" t="s">
        <v>190</v>
      </c>
      <c r="J1" s="21" t="s">
        <v>191</v>
      </c>
      <c r="K1" s="21" t="s">
        <v>192</v>
      </c>
      <c r="L1" s="21" t="s">
        <v>193</v>
      </c>
      <c r="M1" s="5"/>
      <c r="N1" s="5"/>
      <c r="O1" s="5"/>
      <c r="P1" s="5"/>
      <c r="Q1" s="4"/>
    </row>
    <row r="2" spans="1:17" x14ac:dyDescent="0.4">
      <c r="A2" s="1"/>
    </row>
    <row r="3" spans="1:17" x14ac:dyDescent="0.4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17">
        <v>6</v>
      </c>
    </row>
    <row r="4" spans="1:17" x14ac:dyDescent="0.4">
      <c r="A4" t="s">
        <v>11</v>
      </c>
      <c r="B4" t="s">
        <v>12</v>
      </c>
      <c r="C4" s="15">
        <f>'Wegmans (F)'!E4</f>
        <v>3.29</v>
      </c>
      <c r="D4" s="15">
        <f>'Trader Joes (F)'!E4</f>
        <v>2.29</v>
      </c>
      <c r="E4" s="15">
        <f>'Mclanahans (N)'!E4</f>
        <v>2.99</v>
      </c>
      <c r="F4" s="15">
        <f>'Weis (N)'!E4</f>
        <v>1.52</v>
      </c>
      <c r="G4" s="15">
        <f>'Target D (T)'!E4</f>
        <v>2.19</v>
      </c>
      <c r="H4" s="15">
        <f>'Giant (T)'!E4</f>
        <v>3.49</v>
      </c>
      <c r="I4" s="15">
        <f>'Sams Club (N)'!E4</f>
        <v>2.38</v>
      </c>
      <c r="J4" s="15">
        <f>'Target Up (N)'!E4</f>
        <v>2.29</v>
      </c>
      <c r="K4" s="15">
        <f>'Aldi (L)'!E4</f>
        <v>2.85</v>
      </c>
      <c r="L4" s="15">
        <f>'Walmart (L)'!E4</f>
        <v>2.1800000000000002</v>
      </c>
    </row>
    <row r="5" spans="1:17" x14ac:dyDescent="0.4">
      <c r="A5" t="s">
        <v>15</v>
      </c>
      <c r="B5" t="s">
        <v>16</v>
      </c>
      <c r="C5" s="15">
        <f>'Wegmans (F)'!E5</f>
        <v>6.49</v>
      </c>
      <c r="D5" s="15">
        <f>'Trader Joes (F)'!E5</f>
        <v>4.99</v>
      </c>
      <c r="E5" s="15">
        <f>'Mclanahans (N)'!E5</f>
        <v>2.89</v>
      </c>
      <c r="F5" s="15">
        <f>'Weis (N)'!E5</f>
        <v>2.4900000000000002</v>
      </c>
      <c r="G5" s="15">
        <f>'Target D (T)'!E5</f>
        <v>2.59</v>
      </c>
      <c r="H5" s="15">
        <f>'Giant (T)'!E5</f>
        <v>4.99</v>
      </c>
      <c r="I5" s="15">
        <f>'Sams Club (N)'!E5</f>
        <v>2.7708333333333335</v>
      </c>
      <c r="J5" s="15">
        <f>'Target Up (N)'!E5</f>
        <v>2.4900000000000002</v>
      </c>
      <c r="K5" s="15">
        <f>'Aldi (L)'!E5</f>
        <v>2.19</v>
      </c>
      <c r="L5" s="15">
        <f>'Walmart (L)'!E5</f>
        <v>2.63</v>
      </c>
    </row>
    <row r="6" spans="1:17" x14ac:dyDescent="0.4">
      <c r="A6" t="s">
        <v>19</v>
      </c>
      <c r="B6" t="s">
        <v>16</v>
      </c>
      <c r="C6" s="15">
        <f>'Wegmans (F)'!E6</f>
        <v>4.99</v>
      </c>
      <c r="D6" s="15">
        <f>'Trader Joes (F)'!E6</f>
        <v>3.79</v>
      </c>
      <c r="E6" s="15" t="str">
        <f>'Mclanahans (N)'!E6</f>
        <v>NA</v>
      </c>
      <c r="F6" s="15">
        <f>'Weis (N)'!E6</f>
        <v>4.99</v>
      </c>
      <c r="G6" s="15">
        <f>'Target D (T)'!E6</f>
        <v>5.29</v>
      </c>
      <c r="H6" s="15">
        <f>'Giant (T)'!E6</f>
        <v>3.99</v>
      </c>
      <c r="I6" s="15">
        <f>'Sams Club (N)'!E6</f>
        <v>2.44</v>
      </c>
      <c r="J6" s="15">
        <f>'Target Up (N)'!E6</f>
        <v>5.29</v>
      </c>
      <c r="K6" s="15">
        <f>'Aldi (L)'!E6</f>
        <v>3.85</v>
      </c>
      <c r="L6" s="15">
        <f>'Walmart (L)'!E6</f>
        <v>5.46</v>
      </c>
    </row>
    <row r="7" spans="1:17" x14ac:dyDescent="0.4">
      <c r="A7" t="s">
        <v>21</v>
      </c>
      <c r="B7" t="s">
        <v>22</v>
      </c>
      <c r="C7" s="15">
        <f>'Wegmans (F)'!E7</f>
        <v>0.28999999999999998</v>
      </c>
      <c r="D7" s="15">
        <f>'Trader Joes (F)'!E7</f>
        <v>0.3</v>
      </c>
      <c r="E7" s="15">
        <f>'Mclanahans (N)'!E7</f>
        <v>0.52</v>
      </c>
      <c r="F7" s="15">
        <f>'Weis (N)'!E7</f>
        <v>0.69</v>
      </c>
      <c r="G7" s="15">
        <f>'Target D (T)'!E7</f>
        <v>0.38727272727272727</v>
      </c>
      <c r="H7" s="15">
        <f>'Giant (T)'!E7</f>
        <v>0.42363636363636364</v>
      </c>
      <c r="I7" s="15">
        <f>'Sams Club (N)'!E7</f>
        <v>0.19201183431952665</v>
      </c>
      <c r="J7" s="15">
        <f>'Target Up (N)'!E7</f>
        <v>0.37810650887573966</v>
      </c>
      <c r="K7" s="15">
        <f>'Aldi (L)'!E7</f>
        <v>0.36764705882352938</v>
      </c>
      <c r="L7" s="15">
        <f>'Walmart (L)'!E7</f>
        <v>0.34941176470588237</v>
      </c>
    </row>
    <row r="8" spans="1:17" x14ac:dyDescent="0.4">
      <c r="A8" t="s">
        <v>26</v>
      </c>
      <c r="B8" t="s">
        <v>27</v>
      </c>
      <c r="C8" s="15">
        <f>'Wegmans (F)'!E8</f>
        <v>0.01</v>
      </c>
      <c r="D8" s="15">
        <f>'Trader Joes (F)'!E8</f>
        <v>0.01</v>
      </c>
      <c r="E8" s="15">
        <f>'Mclanahans (N)'!E8</f>
        <v>0.1</v>
      </c>
      <c r="F8" s="15">
        <f>'Weis (N)'!E8</f>
        <v>0.1</v>
      </c>
      <c r="G8" s="15">
        <f>'Target D (T)'!E8</f>
        <v>5.6056338028169013E-2</v>
      </c>
      <c r="H8" s="15">
        <f>'Giant (T)'!E8</f>
        <v>0.11211267605633803</v>
      </c>
      <c r="I8" s="15">
        <f>'Sams Club (N)'!E8</f>
        <v>7.7499999999999999E-2</v>
      </c>
      <c r="J8" s="15">
        <f>'Target Up (N)'!E8</f>
        <v>0.14599999999999999</v>
      </c>
      <c r="K8" s="15">
        <f>'Aldi (L)'!E8</f>
        <v>0.14562499999999998</v>
      </c>
      <c r="L8" s="15">
        <f>'Walmart (L)'!E8</f>
        <v>0.01</v>
      </c>
    </row>
    <row r="9" spans="1:17" x14ac:dyDescent="0.4">
      <c r="A9" t="s">
        <v>30</v>
      </c>
      <c r="B9" t="s">
        <v>22</v>
      </c>
      <c r="C9" s="15">
        <f>'Wegmans (F)'!E9</f>
        <v>0.44</v>
      </c>
      <c r="D9" s="15">
        <f>'Trader Joes (F)'!E9</f>
        <v>0</v>
      </c>
      <c r="E9" s="15">
        <f>'Mclanahans (N)'!E9</f>
        <v>0.49</v>
      </c>
      <c r="F9" s="15">
        <f>'Weis (N)'!E9</f>
        <v>0.32</v>
      </c>
      <c r="G9" s="15">
        <f>'Target D (T)'!E9</f>
        <v>0.6644444444444445</v>
      </c>
      <c r="H9" s="15">
        <f>'Giant (T)'!E9</f>
        <v>0.62250000000000005</v>
      </c>
      <c r="I9" s="15">
        <f>'Sams Club (N)'!E9</f>
        <v>0.11833333333333332</v>
      </c>
      <c r="J9" s="15">
        <f>'Target Up (N)'!E9</f>
        <v>0.47375</v>
      </c>
      <c r="K9" s="15">
        <f>'Aldi (L)'!E9</f>
        <v>0.35625000000000001</v>
      </c>
      <c r="L9" s="15">
        <f>'Walmart (L)'!E9</f>
        <v>0.51023192360163716</v>
      </c>
    </row>
    <row r="10" spans="1:17" x14ac:dyDescent="0.4">
      <c r="A10" t="s">
        <v>32</v>
      </c>
      <c r="B10" t="s">
        <v>33</v>
      </c>
      <c r="C10" s="15">
        <f>'Wegmans (F)'!E10</f>
        <v>0.5</v>
      </c>
      <c r="D10" s="15">
        <f>'Trader Joes (F)'!E10</f>
        <v>1</v>
      </c>
      <c r="E10" s="15">
        <f>'Mclanahans (N)'!E10</f>
        <v>1.28</v>
      </c>
      <c r="F10" s="15">
        <f>'Weis (N)'!E10</f>
        <v>0.83</v>
      </c>
      <c r="G10" s="15">
        <f>'Target D (T)'!E10</f>
        <v>0.495</v>
      </c>
      <c r="H10" s="15">
        <f>'Giant (T)'!E10</f>
        <v>0.5</v>
      </c>
      <c r="I10" s="15">
        <f>'Sams Club (N)'!E10</f>
        <v>0.71</v>
      </c>
      <c r="J10" s="15">
        <f>'Target Up (N)'!E10</f>
        <v>0.495</v>
      </c>
      <c r="K10" s="15">
        <f>'Aldi (L)'!E10</f>
        <v>1.0449999999999999</v>
      </c>
      <c r="L10" s="15">
        <f>'Walmart (L)'!E10</f>
        <v>0.49</v>
      </c>
    </row>
    <row r="11" spans="1:17" x14ac:dyDescent="0.4">
      <c r="A11" s="1" t="s">
        <v>34</v>
      </c>
      <c r="C11" s="15">
        <f>'Wegmans (F)'!E11</f>
        <v>16.009999999999998</v>
      </c>
      <c r="D11" s="15">
        <f>'Trader Joes (F)'!E11</f>
        <v>12.38</v>
      </c>
      <c r="E11" s="15">
        <f>'Mclanahans (N)'!E11</f>
        <v>8.27</v>
      </c>
      <c r="F11" s="15">
        <f>'Weis (N)'!E11</f>
        <v>10.94</v>
      </c>
      <c r="G11" s="15">
        <f>'Target D (T)'!E11</f>
        <v>11.67277350974534</v>
      </c>
      <c r="H11" s="15">
        <f>'Giant (T)'!E11</f>
        <v>14.128249039692703</v>
      </c>
      <c r="I11" s="15">
        <f>'Sams Club (N)'!E11</f>
        <v>8.6886785009861924</v>
      </c>
      <c r="J11" s="15">
        <f>'Target Up (N)'!E11</f>
        <v>11.562856508875742</v>
      </c>
      <c r="K11" s="15">
        <f>'Aldi (L)'!E11</f>
        <v>10.80452205882353</v>
      </c>
      <c r="L11" s="15">
        <f>'Walmart (L)'!E11</f>
        <v>11.629643688307519</v>
      </c>
    </row>
    <row r="12" spans="1:17" x14ac:dyDescent="0.4">
      <c r="A12" s="11" t="s">
        <v>35</v>
      </c>
    </row>
    <row r="13" spans="1:17" x14ac:dyDescent="0.4">
      <c r="A13" s="11"/>
    </row>
    <row r="14" spans="1:17" x14ac:dyDescent="0.4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17">
        <v>1</v>
      </c>
    </row>
    <row r="15" spans="1:17" x14ac:dyDescent="0.4">
      <c r="A15" t="s">
        <v>37</v>
      </c>
      <c r="B15" t="s">
        <v>38</v>
      </c>
      <c r="C15" s="15">
        <f>'Wegmans (F)'!E15</f>
        <v>7.0000000000000007E-2</v>
      </c>
      <c r="D15" s="15">
        <f>'Trader Joes (F)'!E15</f>
        <v>0.33</v>
      </c>
      <c r="E15" s="15" t="str">
        <f>'Mclanahans (N)'!E15</f>
        <v>NA</v>
      </c>
      <c r="F15" s="15">
        <f>'Weis (N)'!E15</f>
        <v>0.12</v>
      </c>
      <c r="G15" s="15">
        <f>'Target D (T)'!E15</f>
        <v>0.22230769230769232</v>
      </c>
      <c r="H15" s="15">
        <f>'Giant (T)'!E15</f>
        <v>6.6500000000000004E-2</v>
      </c>
      <c r="I15" s="15">
        <f>'Sams Club (N)'!E15</f>
        <v>9.9750000000000005E-2</v>
      </c>
      <c r="J15" s="15">
        <f>'Target Up (N)'!E15</f>
        <v>0.93142857142857127</v>
      </c>
      <c r="K15" s="15">
        <f>'Aldi (L)'!E15</f>
        <v>0.21666666666666665</v>
      </c>
      <c r="L15" s="15">
        <f>'Walmart (L)'!E15</f>
        <v>0.10230769230769231</v>
      </c>
    </row>
    <row r="16" spans="1:17" x14ac:dyDescent="0.4">
      <c r="A16" t="s">
        <v>41</v>
      </c>
      <c r="B16" t="s">
        <v>38</v>
      </c>
      <c r="C16" s="15">
        <f>'Wegmans (F)'!E16</f>
        <v>0.09</v>
      </c>
      <c r="D16" s="15">
        <f>'Trader Joes (F)'!E16</f>
        <v>0.37</v>
      </c>
      <c r="E16" s="15">
        <f>'Mclanahans (N)'!E16</f>
        <v>0.56000000000000005</v>
      </c>
      <c r="F16" s="15">
        <f>'Weis (N)'!E16</f>
        <v>0.37</v>
      </c>
      <c r="G16" s="15">
        <f>'Target D (T)'!E16</f>
        <v>0.22600000000000001</v>
      </c>
      <c r="H16" s="15">
        <f>'Giant (T)'!E16</f>
        <v>0.25266666666666665</v>
      </c>
      <c r="I16" s="15">
        <f>'Sams Club (N)'!E16</f>
        <v>0.20708333333333331</v>
      </c>
      <c r="J16" s="15">
        <f>'Target Up (N)'!E16</f>
        <v>1.4975000000000001</v>
      </c>
      <c r="K16" s="15">
        <f>'Aldi (L)'!E16</f>
        <v>0.205625</v>
      </c>
      <c r="L16" s="15">
        <f>'Walmart (L)'!E16</f>
        <v>0.41</v>
      </c>
    </row>
    <row r="17" spans="1:17" x14ac:dyDescent="0.4">
      <c r="A17" t="s">
        <v>43</v>
      </c>
      <c r="B17" t="s">
        <v>44</v>
      </c>
      <c r="C17" s="15">
        <f>'Wegmans (F)'!E17</f>
        <v>0.1</v>
      </c>
      <c r="D17" s="15">
        <f>'Trader Joes (F)'!E17</f>
        <v>0</v>
      </c>
      <c r="E17" s="15">
        <f>'Mclanahans (N)'!E17</f>
        <v>0.1</v>
      </c>
      <c r="F17" s="15">
        <f>'Weis (N)'!E17</f>
        <v>0.15</v>
      </c>
      <c r="G17" s="15">
        <f>'Target D (T)'!E17</f>
        <v>0.10187499999999999</v>
      </c>
      <c r="H17" s="15">
        <f>'Giant (T)'!E17</f>
        <v>0.13500000000000001</v>
      </c>
      <c r="I17" s="15">
        <f>'Sams Club (N)'!E17</f>
        <v>0.17807909604519773</v>
      </c>
      <c r="J17" s="15">
        <f>'Target Up (N)'!E17</f>
        <v>0.11208333333333333</v>
      </c>
      <c r="K17" s="15">
        <f>'Aldi (L)'!E17</f>
        <v>0.11624999999999999</v>
      </c>
      <c r="L17" s="15">
        <f>'Walmart (L)'!E17</f>
        <v>0.19666666666666666</v>
      </c>
    </row>
    <row r="18" spans="1:17" x14ac:dyDescent="0.4">
      <c r="A18" t="s">
        <v>46</v>
      </c>
      <c r="B18" t="s">
        <v>47</v>
      </c>
      <c r="C18" s="15">
        <f>'Wegmans (F)'!E18</f>
        <v>0.1</v>
      </c>
      <c r="D18" s="15">
        <f>'Trader Joes (F)'!E18</f>
        <v>0</v>
      </c>
      <c r="E18" s="15">
        <f>'Mclanahans (N)'!E18</f>
        <v>0.18</v>
      </c>
      <c r="F18" s="15">
        <f>'Weis (N)'!E18</f>
        <v>0.14000000000000001</v>
      </c>
      <c r="G18" s="15" t="str">
        <f>'Target D (T)'!E18</f>
        <v>NA</v>
      </c>
      <c r="H18" s="15">
        <f>'Giant (T)'!E18</f>
        <v>0.23955555555555555</v>
      </c>
      <c r="I18" s="15" t="str">
        <f>'Sams Club (N)'!E18</f>
        <v>N/A</v>
      </c>
      <c r="J18" s="15">
        <f>'Target Up (N)'!E18</f>
        <v>0.33291666666666664</v>
      </c>
      <c r="K18" s="15">
        <f>'Aldi (L)'!E18</f>
        <v>0.11361111111111111</v>
      </c>
      <c r="L18" s="15">
        <f>'Walmart (L)'!E18</f>
        <v>0.17644444444444446</v>
      </c>
    </row>
    <row r="19" spans="1:17" x14ac:dyDescent="0.4">
      <c r="A19" t="s">
        <v>49</v>
      </c>
      <c r="B19" t="s">
        <v>38</v>
      </c>
      <c r="C19" s="15">
        <f>'Wegmans (F)'!E19</f>
        <v>0.5</v>
      </c>
      <c r="D19" s="15">
        <f>'Trader Joes (F)'!E19</f>
        <v>7.0000000000000007E-2</v>
      </c>
      <c r="E19" s="15">
        <f>'Mclanahans (N)'!E19</f>
        <v>0.42</v>
      </c>
      <c r="F19" s="15">
        <f>'Weis (N)'!E19</f>
        <v>0.39</v>
      </c>
      <c r="G19" s="15">
        <f>'Target D (T)'!E19</f>
        <v>0.49875000000000003</v>
      </c>
      <c r="H19" s="15">
        <f>'Giant (T)'!E19</f>
        <v>0.62375000000000003</v>
      </c>
      <c r="I19" s="15">
        <f>'Sams Club (N)'!E19</f>
        <v>0.29041666666666666</v>
      </c>
      <c r="J19" s="15">
        <f>'Target Up (N)'!E19</f>
        <v>0.29083333333333333</v>
      </c>
      <c r="K19" s="15">
        <f>'Aldi (L)'!E19</f>
        <v>0.25750000000000001</v>
      </c>
      <c r="L19" s="15">
        <f>'Walmart (L)'!E19</f>
        <v>0.26500000000000001</v>
      </c>
    </row>
    <row r="20" spans="1:17" x14ac:dyDescent="0.4">
      <c r="A20" t="s">
        <v>50</v>
      </c>
      <c r="B20" t="s">
        <v>47</v>
      </c>
      <c r="C20" s="15">
        <f>'Wegmans (F)'!E20</f>
        <v>10</v>
      </c>
      <c r="D20" s="15">
        <f>'Trader Joes (F)'!E20</f>
        <v>0</v>
      </c>
      <c r="E20" s="15">
        <f>'Mclanahans (N)'!E20</f>
        <v>0.1</v>
      </c>
      <c r="F20" s="15">
        <f>'Weis (N)'!E20</f>
        <v>0.21</v>
      </c>
      <c r="G20" s="15">
        <f>'Target D (T)'!E20</f>
        <v>0.18708333333333332</v>
      </c>
      <c r="H20" s="15">
        <f>'Giant (T)'!E20</f>
        <v>0.15375</v>
      </c>
      <c r="I20" s="15">
        <f>'Sams Club (N)'!E20</f>
        <v>5.541666666666667E-2</v>
      </c>
      <c r="J20" s="15">
        <f>'Target Up (N)'!E20</f>
        <v>0.13305555555555554</v>
      </c>
      <c r="K20" s="15">
        <f>'Aldi (L)'!E20</f>
        <v>0.10249999999999999</v>
      </c>
      <c r="L20" s="15">
        <f>'Walmart (L)'!E20</f>
        <v>0.15583333333333332</v>
      </c>
    </row>
    <row r="21" spans="1:17" x14ac:dyDescent="0.4">
      <c r="A21" s="1" t="s">
        <v>34</v>
      </c>
      <c r="C21" s="15">
        <f>'Wegmans (F)'!E21</f>
        <v>10.86</v>
      </c>
      <c r="D21" s="15">
        <f>'Trader Joes (F)'!E21</f>
        <v>0.77</v>
      </c>
      <c r="E21" s="15">
        <f>'Mclanahans (N)'!E21</f>
        <v>1.36</v>
      </c>
      <c r="F21" s="15">
        <f>'Weis (N)'!E21</f>
        <v>1.38</v>
      </c>
      <c r="G21" s="15">
        <f>'Target D (T)'!E21</f>
        <v>1.2360160256410255</v>
      </c>
      <c r="H21" s="15">
        <f>'Giant (T)'!E21</f>
        <v>1.4712222222222224</v>
      </c>
      <c r="I21" s="15">
        <f>'Sams Club (N)'!E21</f>
        <v>0.8307457627118644</v>
      </c>
      <c r="J21" s="15">
        <f>'Target Up (N)'!E21</f>
        <v>3.2978174603174604</v>
      </c>
      <c r="K21" s="15">
        <f>'Aldi (L)'!E21</f>
        <v>1.0121527777777777</v>
      </c>
      <c r="L21" s="15">
        <f>'Walmart (L)'!E21</f>
        <v>1.3062521367521365</v>
      </c>
    </row>
    <row r="22" spans="1:17" x14ac:dyDescent="0.4">
      <c r="A22" s="12" t="s">
        <v>52</v>
      </c>
    </row>
    <row r="23" spans="1:17" x14ac:dyDescent="0.4">
      <c r="A23" s="10"/>
    </row>
    <row r="24" spans="1:17" x14ac:dyDescent="0.4">
      <c r="A24" s="29" t="s">
        <v>53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17">
        <v>4</v>
      </c>
    </row>
    <row r="25" spans="1:17" x14ac:dyDescent="0.4">
      <c r="A25" t="s">
        <v>54</v>
      </c>
      <c r="B25">
        <v>8</v>
      </c>
      <c r="C25" s="15">
        <f>'Wegmans (F)'!E25</f>
        <v>2.4900000000000002</v>
      </c>
      <c r="D25" s="15">
        <f>'Trader Joes (F)'!E25</f>
        <v>1.99</v>
      </c>
      <c r="E25" s="15">
        <f>'Mclanahans (N)'!E25</f>
        <v>3.49</v>
      </c>
      <c r="F25" s="15">
        <f>'Weis (N)'!E25</f>
        <v>2.69</v>
      </c>
      <c r="G25" s="15">
        <f>'Target D (T)'!E25</f>
        <v>1.99</v>
      </c>
      <c r="H25" s="15">
        <f>'Giant (T)'!E25</f>
        <v>2.99</v>
      </c>
      <c r="I25" s="15">
        <f>'Sams Club (N)'!E25</f>
        <v>1.2233333333333332</v>
      </c>
      <c r="J25" s="15" cm="1">
        <f t="array" ref="J25:J31">'Target Up (N)'!E25:E31</f>
        <v>4.6900000000000004</v>
      </c>
      <c r="K25" s="15">
        <f>'Aldi (L)'!E25</f>
        <v>2.35</v>
      </c>
      <c r="L25" s="15">
        <f>'Walmart (L)'!E25</f>
        <v>2.12</v>
      </c>
    </row>
    <row r="26" spans="1:17" x14ac:dyDescent="0.4">
      <c r="A26" t="s">
        <v>56</v>
      </c>
      <c r="B26" t="s">
        <v>57</v>
      </c>
      <c r="C26" s="15">
        <f>'Wegmans (F)'!E26</f>
        <v>0.16</v>
      </c>
      <c r="D26" s="15">
        <f>'Trader Joes (F)'!E26</f>
        <v>0</v>
      </c>
      <c r="E26" s="15">
        <f>'Mclanahans (N)'!E26</f>
        <v>0.19</v>
      </c>
      <c r="F26" s="15">
        <f>'Weis (N)'!E26</f>
        <v>0.12</v>
      </c>
      <c r="G26" s="15">
        <f>'Target D (T)'!E26</f>
        <v>0.1153125</v>
      </c>
      <c r="H26" s="15">
        <f>'Giant (T)'!E26</f>
        <v>0.1028125</v>
      </c>
      <c r="I26" s="15">
        <f>'Sams Club (N)'!E26</f>
        <v>6.5937499999999996E-2</v>
      </c>
      <c r="J26" s="15">
        <v>0.10906250000000001</v>
      </c>
      <c r="K26" s="15">
        <f>'Aldi (L)'!E26</f>
        <v>0.1028125</v>
      </c>
      <c r="L26" s="15">
        <f>'Walmart (L)'!E26</f>
        <v>0.16062499999999999</v>
      </c>
    </row>
    <row r="27" spans="1:17" x14ac:dyDescent="0.4">
      <c r="A27" s="3" t="s">
        <v>60</v>
      </c>
      <c r="B27" t="s">
        <v>61</v>
      </c>
      <c r="C27" s="15">
        <f>'Wegmans (F)'!E27</f>
        <v>6.43</v>
      </c>
      <c r="D27" s="15">
        <f>'Trader Joes (F)'!E27</f>
        <v>7.49</v>
      </c>
      <c r="E27" s="15">
        <f>'Mclanahans (N)'!E27</f>
        <v>4.43</v>
      </c>
      <c r="F27" s="15">
        <f>'Weis (N)'!E27</f>
        <v>3.99</v>
      </c>
      <c r="G27" s="15">
        <f>'Target D (T)'!E27</f>
        <v>2.4950000000000001</v>
      </c>
      <c r="H27" s="15">
        <f>'Giant (T)'!E27</f>
        <v>2.4950000000000001</v>
      </c>
      <c r="I27" s="15">
        <f>'Sams Club (N)'!E27</f>
        <v>4.1399999999999997</v>
      </c>
      <c r="J27" s="15">
        <v>6.3849999999999998</v>
      </c>
      <c r="K27" s="15">
        <f>'Aldi (L)'!E27</f>
        <v>5.79</v>
      </c>
      <c r="L27" s="15">
        <f>'Walmart (L)'!E27</f>
        <v>5.88</v>
      </c>
    </row>
    <row r="28" spans="1:17" x14ac:dyDescent="0.4">
      <c r="A28" t="s">
        <v>63</v>
      </c>
      <c r="B28" t="s">
        <v>64</v>
      </c>
      <c r="C28" s="15">
        <f>'Wegmans (F)'!E28</f>
        <v>0</v>
      </c>
      <c r="D28" s="15">
        <f>'Trader Joes (F)'!E28</f>
        <v>0.99</v>
      </c>
      <c r="E28" s="15">
        <f>'Mclanahans (N)'!E28</f>
        <v>1.65</v>
      </c>
      <c r="F28" s="15">
        <f>'Weis (N)'!E28</f>
        <v>0.79</v>
      </c>
      <c r="G28" s="15">
        <f>'Target D (T)'!E28</f>
        <v>0.99</v>
      </c>
      <c r="H28" s="15">
        <f>'Giant (T)'!E28</f>
        <v>0.89</v>
      </c>
      <c r="I28" s="15">
        <f>'Sams Club (N)'!E28</f>
        <v>0.9966666666666667</v>
      </c>
      <c r="J28" s="15">
        <v>1.59</v>
      </c>
      <c r="K28" s="15">
        <f>'Aldi (L)'!E28</f>
        <v>0.95</v>
      </c>
      <c r="L28" s="15">
        <f>'Walmart (L)'!E28</f>
        <v>0.86</v>
      </c>
    </row>
    <row r="29" spans="1:17" x14ac:dyDescent="0.4">
      <c r="A29" t="s">
        <v>66</v>
      </c>
      <c r="B29" t="s">
        <v>38</v>
      </c>
      <c r="C29" s="15">
        <f>'Wegmans (F)'!E29</f>
        <v>0</v>
      </c>
      <c r="D29" s="15">
        <f>'Trader Joes (F)'!E29</f>
        <v>4.29</v>
      </c>
      <c r="E29" s="15">
        <f>'Mclanahans (N)'!E29</f>
        <v>0.67</v>
      </c>
      <c r="F29" s="15">
        <f>'Weis (N)'!E29</f>
        <v>0.6</v>
      </c>
      <c r="G29" s="15">
        <f>'Target D (T)'!E29</f>
        <v>0.24875</v>
      </c>
      <c r="H29" s="15">
        <f>'Giant (T)'!E29</f>
        <v>0.24875</v>
      </c>
      <c r="I29" s="15">
        <f>'Sams Club (N)'!E29</f>
        <v>2.7349999999999999</v>
      </c>
      <c r="J29" s="15">
        <v>1.99</v>
      </c>
      <c r="K29" s="15">
        <f>'Aldi (L)'!E29</f>
        <v>2.65</v>
      </c>
      <c r="L29" s="15">
        <f>'Walmart (L)'!E29</f>
        <v>1.97</v>
      </c>
    </row>
    <row r="30" spans="1:17" x14ac:dyDescent="0.4">
      <c r="A30" t="s">
        <v>26</v>
      </c>
      <c r="B30" t="s">
        <v>68</v>
      </c>
      <c r="C30" s="15">
        <f>'Wegmans (F)'!E30</f>
        <v>0</v>
      </c>
      <c r="D30" s="15">
        <f>'Trader Joes (F)'!E30</f>
        <v>0.01</v>
      </c>
      <c r="E30" s="15">
        <f>'Mclanahans (N)'!E30</f>
        <v>0.1</v>
      </c>
      <c r="F30" s="15">
        <f>'Weis (N)'!E30</f>
        <v>0.1</v>
      </c>
      <c r="G30" s="15">
        <f>'Target D (T)'!E30</f>
        <v>0.22422535211267605</v>
      </c>
      <c r="H30" s="15">
        <f>'Giant (T)'!E30</f>
        <v>5.6056338028169013E-2</v>
      </c>
      <c r="I30" s="15">
        <f>'Sams Club (N)'!E30</f>
        <v>7.7499999999999999E-2</v>
      </c>
      <c r="J30" s="15">
        <v>0.14599999999999999</v>
      </c>
      <c r="K30" s="15">
        <f>'Aldi (L)'!E30</f>
        <v>9.6910569105691055E-2</v>
      </c>
      <c r="L30" s="15">
        <f>'Walmart (L)'!E30</f>
        <v>0.01</v>
      </c>
    </row>
    <row r="31" spans="1:17" x14ac:dyDescent="0.4">
      <c r="A31" t="s">
        <v>70</v>
      </c>
      <c r="B31" t="s">
        <v>58</v>
      </c>
      <c r="C31" s="15">
        <f>'Wegmans (F)'!E31</f>
        <v>0</v>
      </c>
      <c r="D31" s="15">
        <f>'Trader Joes (F)'!E31</f>
        <v>0.3</v>
      </c>
      <c r="E31" s="15">
        <f>'Mclanahans (N)'!E31</f>
        <v>0.52</v>
      </c>
      <c r="F31" s="15">
        <f>'Weis (N)'!E31</f>
        <v>0.35</v>
      </c>
      <c r="G31" s="15">
        <f>'Target D (T)'!E31</f>
        <v>0.19363636363636363</v>
      </c>
      <c r="H31" s="15">
        <f>'Giant (T)'!E31</f>
        <v>0.21181818181818182</v>
      </c>
      <c r="I31" s="15">
        <f>'Sams Club (N)'!E31</f>
        <v>9.6005917159763324E-2</v>
      </c>
      <c r="J31" s="15">
        <v>0.18905325443786983</v>
      </c>
      <c r="K31" s="15">
        <f>'Aldi (L)'!E31</f>
        <v>0.18382352941176469</v>
      </c>
      <c r="L31" s="15">
        <f>'Walmart (L)'!E31</f>
        <v>0.17470588235294118</v>
      </c>
    </row>
    <row r="32" spans="1:17" x14ac:dyDescent="0.4">
      <c r="A32" s="1" t="s">
        <v>34</v>
      </c>
      <c r="C32" s="15">
        <f>'Wegmans (F)'!E32</f>
        <v>9.08</v>
      </c>
      <c r="D32" s="15">
        <f>'Trader Joes (F)'!E32</f>
        <v>15.070000000000002</v>
      </c>
      <c r="E32" s="15">
        <f>'Mclanahans (N)'!E32</f>
        <v>11.049999999999999</v>
      </c>
      <c r="F32" s="15">
        <f>'Weis (N)'!E32</f>
        <v>8.64</v>
      </c>
      <c r="G32" s="15">
        <f>'Target D (T)'!E32</f>
        <v>6.2569242157490406</v>
      </c>
      <c r="H32" s="15">
        <f>'Giant (T)'!E32</f>
        <v>4.0044370198463506</v>
      </c>
      <c r="I32" s="15">
        <f>'Sams Club (N)'!E32</f>
        <v>9.334443417159763</v>
      </c>
      <c r="J32" s="15">
        <f>'Target Up (N)'!E32</f>
        <v>15.09911575443787</v>
      </c>
      <c r="K32" s="15">
        <f>'Aldi (L)'!E32</f>
        <v>12.123546598517455</v>
      </c>
      <c r="L32" s="15">
        <f>'Walmart (L)'!E32</f>
        <v>11.17533088235294</v>
      </c>
    </row>
    <row r="33" spans="1:17" x14ac:dyDescent="0.4">
      <c r="A33" s="11" t="s">
        <v>71</v>
      </c>
    </row>
    <row r="34" spans="1:17" x14ac:dyDescent="0.4">
      <c r="A34" s="11"/>
    </row>
    <row r="35" spans="1:17" x14ac:dyDescent="0.4">
      <c r="A35" s="29" t="s">
        <v>72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17">
        <v>6</v>
      </c>
    </row>
    <row r="36" spans="1:17" x14ac:dyDescent="0.4">
      <c r="A36" s="3" t="s">
        <v>73</v>
      </c>
      <c r="B36" t="s">
        <v>74</v>
      </c>
      <c r="C36" s="15">
        <f>'Wegmans (F)'!E36</f>
        <v>0</v>
      </c>
      <c r="D36" s="15">
        <f>'Trader Joes (F)'!E36</f>
        <v>6.49</v>
      </c>
      <c r="E36" s="15">
        <f>'Mclanahans (N)'!E36</f>
        <v>10.59</v>
      </c>
      <c r="F36" s="15">
        <f>'Weis (N)'!E36</f>
        <v>7.29</v>
      </c>
      <c r="G36" s="15">
        <f>'Target D (T)'!E36</f>
        <v>6.19</v>
      </c>
      <c r="H36" s="15">
        <f>'Giant (T)'!E36</f>
        <v>6.89</v>
      </c>
      <c r="I36" s="15">
        <f>'Sams Club (N)'!E36</f>
        <v>5.96</v>
      </c>
      <c r="J36" s="15">
        <f>'Target Up (N)'!E36</f>
        <v>7.99</v>
      </c>
      <c r="K36" s="15">
        <f>'Aldi (L)'!E36</f>
        <v>6.95</v>
      </c>
      <c r="L36" s="15">
        <f>'Walmart (L)'!E36</f>
        <v>6.26</v>
      </c>
      <c r="M36" s="2"/>
      <c r="N36" s="2"/>
      <c r="O36" s="2"/>
      <c r="P36" s="2"/>
    </row>
    <row r="37" spans="1:17" x14ac:dyDescent="0.4">
      <c r="A37" s="3" t="s">
        <v>76</v>
      </c>
      <c r="B37" s="18">
        <v>1</v>
      </c>
      <c r="C37" s="15">
        <f>'Wegmans (F)'!E37</f>
        <v>0</v>
      </c>
      <c r="D37" s="15">
        <f>'Trader Joes (F)'!E37</f>
        <v>1.19</v>
      </c>
      <c r="E37" s="15">
        <f>'Mclanahans (N)'!E37</f>
        <v>0.99</v>
      </c>
      <c r="F37" s="15">
        <f>'Weis (N)'!E37</f>
        <v>0.5</v>
      </c>
      <c r="G37" s="15">
        <f>'Target D (T)'!E37</f>
        <v>0.99</v>
      </c>
      <c r="H37" s="15">
        <f>'Giant (T)'!E37</f>
        <v>0.54</v>
      </c>
      <c r="I37" s="15" t="str">
        <f>'Sams Club (N)'!E37</f>
        <v>N/A</v>
      </c>
      <c r="J37" s="15">
        <f>'Target Up (N)'!E37</f>
        <v>0.89</v>
      </c>
      <c r="K37" s="15">
        <f>'Aldi (L)'!E37</f>
        <v>0.438</v>
      </c>
      <c r="L37" s="15">
        <f>'Walmart (L)'!E37</f>
        <v>0.78</v>
      </c>
      <c r="M37" s="2"/>
      <c r="N37" s="2"/>
      <c r="O37" s="2"/>
      <c r="P37" s="2"/>
    </row>
    <row r="38" spans="1:17" x14ac:dyDescent="0.4">
      <c r="A38" t="s">
        <v>79</v>
      </c>
      <c r="B38" t="s">
        <v>64</v>
      </c>
      <c r="C38" s="15">
        <f>'Wegmans (F)'!E38</f>
        <v>0</v>
      </c>
      <c r="D38" s="15">
        <f>'Trader Joes (F)'!E38</f>
        <v>0</v>
      </c>
      <c r="E38" s="15">
        <f>'Mclanahans (N)'!E38</f>
        <v>1.95</v>
      </c>
      <c r="F38" s="15">
        <f>'Weis (N)'!E38</f>
        <v>0.99</v>
      </c>
      <c r="G38" s="15">
        <f>'Target D (T)'!E38</f>
        <v>0.99</v>
      </c>
      <c r="H38" s="15">
        <f>'Giant (T)'!E38</f>
        <v>1</v>
      </c>
      <c r="I38" s="15">
        <f>'Sams Club (N)'!E38</f>
        <v>1.2350000000000001</v>
      </c>
      <c r="J38" s="15">
        <f>'Target Up (N)'!E38</f>
        <v>3.79</v>
      </c>
      <c r="K38" s="15">
        <f>'Aldi (L)'!E38</f>
        <v>0.99</v>
      </c>
      <c r="L38" s="15">
        <f>'Walmart (L)'!E38</f>
        <v>0.96</v>
      </c>
      <c r="M38" s="2"/>
      <c r="N38" s="2"/>
      <c r="O38" s="2"/>
      <c r="P38" s="2"/>
    </row>
    <row r="39" spans="1:17" x14ac:dyDescent="0.4">
      <c r="A39" t="s">
        <v>82</v>
      </c>
      <c r="B39" t="s">
        <v>83</v>
      </c>
      <c r="C39" s="15">
        <f>'Wegmans (F)'!E39</f>
        <v>0</v>
      </c>
      <c r="D39" s="15">
        <f>'Trader Joes (F)'!E39</f>
        <v>1.19</v>
      </c>
      <c r="E39" s="15">
        <f>'Mclanahans (N)'!E39</f>
        <v>1.39</v>
      </c>
      <c r="F39" s="15">
        <f>'Weis (N)'!E39</f>
        <v>0.59</v>
      </c>
      <c r="G39" s="15">
        <f>'Target D (T)'!E39</f>
        <v>0.99</v>
      </c>
      <c r="H39" s="15">
        <f>'Giant (T)'!E39</f>
        <v>0.79</v>
      </c>
      <c r="I39" s="15">
        <f>'Sams Club (N)'!E39</f>
        <v>0.69800000000000006</v>
      </c>
      <c r="J39" s="15">
        <f>'Target Up (N)'!E39</f>
        <v>0.99</v>
      </c>
      <c r="K39" s="15">
        <f>'Aldi (L)'!E39</f>
        <v>0.55000000000000004</v>
      </c>
      <c r="L39" s="15">
        <f>'Walmart (L)'!E39</f>
        <v>0.97</v>
      </c>
      <c r="M39" s="2"/>
      <c r="N39" s="2"/>
      <c r="O39" s="2"/>
      <c r="P39" s="2"/>
    </row>
    <row r="40" spans="1:17" x14ac:dyDescent="0.4">
      <c r="A40" t="s">
        <v>86</v>
      </c>
      <c r="B40" t="s">
        <v>64</v>
      </c>
      <c r="C40" s="15">
        <f>'Wegmans (F)'!E40</f>
        <v>0</v>
      </c>
      <c r="D40" s="15">
        <f>'Trader Joes (F)'!E40</f>
        <v>1.19</v>
      </c>
      <c r="E40" s="15">
        <f>'Mclanahans (N)'!E40</f>
        <v>1.55</v>
      </c>
      <c r="F40" s="15">
        <f>'Weis (N)'!E40</f>
        <v>0.79</v>
      </c>
      <c r="G40" s="15">
        <f>'Target D (T)'!E40</f>
        <v>1.19</v>
      </c>
      <c r="H40" s="15">
        <f>'Giant (T)'!E40</f>
        <v>0.89</v>
      </c>
      <c r="I40" s="15">
        <f>'Sams Club (N)'!E40</f>
        <v>0.9966666666666667</v>
      </c>
      <c r="J40" s="15">
        <f>'Target Up (N)'!E40</f>
        <v>1.49</v>
      </c>
      <c r="K40" s="15">
        <f>'Aldi (L)'!E40</f>
        <v>0.95</v>
      </c>
      <c r="L40" s="15">
        <f>'Walmart (L)'!E40</f>
        <v>0.86</v>
      </c>
    </row>
    <row r="41" spans="1:17" x14ac:dyDescent="0.4">
      <c r="A41" t="s">
        <v>89</v>
      </c>
      <c r="B41" t="s">
        <v>64</v>
      </c>
      <c r="C41" s="15">
        <f>'Wegmans (F)'!E41</f>
        <v>0</v>
      </c>
      <c r="D41" s="15">
        <f>'Trader Joes (F)'!E41</f>
        <v>0.99</v>
      </c>
      <c r="E41" s="15">
        <f>'Mclanahans (N)'!E41</f>
        <v>1.79</v>
      </c>
      <c r="F41" s="15">
        <f>'Weis (N)'!E41</f>
        <v>0.89</v>
      </c>
      <c r="G41" s="15">
        <f>'Target D (T)'!E41</f>
        <v>0.59</v>
      </c>
      <c r="H41" s="15">
        <f>'Giant (T)'!E41</f>
        <v>0.75</v>
      </c>
      <c r="I41" s="15">
        <f>'Sams Club (N)'!E41</f>
        <v>1.0525</v>
      </c>
      <c r="J41" s="15">
        <f>'Target Up (N)'!E41</f>
        <v>0.99</v>
      </c>
      <c r="K41" s="15">
        <f>'Aldi (L)'!E41</f>
        <v>0.85</v>
      </c>
      <c r="L41" s="15">
        <f>'Walmart (L)'!E41</f>
        <v>0.76</v>
      </c>
    </row>
    <row r="42" spans="1:17" x14ac:dyDescent="0.4">
      <c r="A42" t="s">
        <v>26</v>
      </c>
      <c r="B42" t="s">
        <v>91</v>
      </c>
      <c r="C42" s="15">
        <f>'Wegmans (F)'!E42</f>
        <v>0</v>
      </c>
      <c r="D42" s="15">
        <f>'Trader Joes (F)'!E42</f>
        <v>0.01</v>
      </c>
      <c r="E42" s="15">
        <f>'Mclanahans (N)'!E42</f>
        <v>0.1</v>
      </c>
      <c r="F42" s="15">
        <f>'Weis (N)'!E42</f>
        <v>0.1</v>
      </c>
      <c r="G42" s="15">
        <f>'Target D (T)'!E42</f>
        <v>5.6056338028169013E-2</v>
      </c>
      <c r="H42" s="15">
        <f>'Giant (T)'!E42</f>
        <v>5.6056338028169013E-2</v>
      </c>
      <c r="I42" s="15">
        <f>'Sams Club (N)'!E42</f>
        <v>7.7499999999999999E-2</v>
      </c>
      <c r="J42" s="15">
        <f>'Target Up (N)'!E42</f>
        <v>0.14599999999999999</v>
      </c>
      <c r="K42" s="15">
        <f>'Aldi (L)'!E42</f>
        <v>9.6910569105691055E-2</v>
      </c>
      <c r="L42" s="15">
        <f>'Walmart (L)'!E42</f>
        <v>0.01</v>
      </c>
    </row>
    <row r="43" spans="1:17" x14ac:dyDescent="0.4">
      <c r="A43" t="s">
        <v>66</v>
      </c>
      <c r="B43" t="s">
        <v>92</v>
      </c>
      <c r="C43" s="15">
        <f>'Wegmans (F)'!E43</f>
        <v>0</v>
      </c>
      <c r="D43" s="15">
        <f>'Trader Joes (F)'!E43</f>
        <v>4.29</v>
      </c>
      <c r="E43" s="15">
        <f>'Mclanahans (N)'!E43</f>
        <v>4.04</v>
      </c>
      <c r="F43" s="15">
        <f>'Weis (N)'!E43</f>
        <v>2.84</v>
      </c>
      <c r="G43" s="15">
        <f>'Target D (T)'!E43</f>
        <v>1.3266666666666667</v>
      </c>
      <c r="H43" s="15">
        <f>'Giant (T)'!E43</f>
        <v>1.4924999999999999</v>
      </c>
      <c r="I43" s="15">
        <f>'Sams Club (N)'!E43</f>
        <v>2.7349999999999999</v>
      </c>
      <c r="J43" s="15">
        <f>'Target Up (N)'!E43</f>
        <v>2.9849999999999999</v>
      </c>
      <c r="K43" s="15">
        <f>'Aldi (L)'!E43</f>
        <v>5.3</v>
      </c>
      <c r="L43" s="15">
        <f>'Walmart (L)'!E43</f>
        <v>1.97</v>
      </c>
    </row>
    <row r="44" spans="1:17" x14ac:dyDescent="0.4">
      <c r="A44" t="s">
        <v>93</v>
      </c>
      <c r="B44" t="s">
        <v>94</v>
      </c>
      <c r="C44" s="15">
        <f>'Wegmans (F)'!E44</f>
        <v>0</v>
      </c>
      <c r="D44" s="15">
        <f>'Trader Joes (F)'!E44</f>
        <v>0</v>
      </c>
      <c r="E44" s="15">
        <f>'Mclanahans (N)'!E44</f>
        <v>1.99</v>
      </c>
      <c r="F44" s="15">
        <f>'Weis (N)'!E44</f>
        <v>2.4900000000000002</v>
      </c>
      <c r="G44" s="15">
        <f>'Target D (T)'!E44</f>
        <v>2.3450000000000002</v>
      </c>
      <c r="H44" s="15">
        <f>'Giant (T)'!E44</f>
        <v>2.7450000000000001</v>
      </c>
      <c r="I44" s="15">
        <f>'Sams Club (N)'!E44</f>
        <v>2.2400000000000002</v>
      </c>
      <c r="J44" s="15">
        <f>'Target Up (N)'!E44</f>
        <v>2.3450000000000002</v>
      </c>
      <c r="K44" s="15">
        <f>'Aldi (L)'!E44</f>
        <v>0.14538461538461539</v>
      </c>
      <c r="L44" s="15">
        <f>'Walmart (L)'!E44</f>
        <v>1.9850000000000001</v>
      </c>
    </row>
    <row r="45" spans="1:17" x14ac:dyDescent="0.4">
      <c r="A45" t="s">
        <v>96</v>
      </c>
      <c r="B45" t="s">
        <v>97</v>
      </c>
      <c r="C45" s="15">
        <f>'Wegmans (F)'!E45</f>
        <v>0</v>
      </c>
      <c r="D45" s="15">
        <f>'Trader Joes (F)'!E45</f>
        <v>1.25</v>
      </c>
      <c r="E45" s="15">
        <f>'Mclanahans (N)'!E45</f>
        <v>1.33</v>
      </c>
      <c r="F45" s="15">
        <f>'Weis (N)'!E45</f>
        <v>1.69</v>
      </c>
      <c r="G45" s="15">
        <f>'Target D (T)'!E45</f>
        <v>1.29</v>
      </c>
      <c r="H45" s="15">
        <f>'Giant (T)'!E45</f>
        <v>1.29</v>
      </c>
      <c r="I45" s="15">
        <f>'Sams Club (N)'!E45</f>
        <v>1.42</v>
      </c>
      <c r="J45" s="15">
        <f>'Target Up (N)'!E45</f>
        <v>0.995</v>
      </c>
      <c r="K45" s="15">
        <f>'Aldi (L)'!E45</f>
        <v>0.995</v>
      </c>
      <c r="L45" s="15">
        <f>'Walmart (L)'!E45</f>
        <v>1.24</v>
      </c>
    </row>
    <row r="46" spans="1:17" x14ac:dyDescent="0.4">
      <c r="A46" s="1" t="s">
        <v>34</v>
      </c>
      <c r="C46" s="15">
        <f>'Wegmans (F)'!E46</f>
        <v>0</v>
      </c>
      <c r="D46" s="15">
        <f>'Trader Joes (F)'!E46</f>
        <v>16.599999999999998</v>
      </c>
      <c r="E46" s="15">
        <f>'Mclanahans (N)'!E46</f>
        <v>25.72</v>
      </c>
      <c r="F46" s="15">
        <f>'Weis (N)'!E46</f>
        <v>18.170000000000002</v>
      </c>
      <c r="G46" s="15">
        <f>'Target D (T)'!E46</f>
        <v>15.957723004694834</v>
      </c>
      <c r="H46" s="15">
        <f>'Giant (T)'!E46</f>
        <v>16.443556338028166</v>
      </c>
      <c r="I46" s="15">
        <f>'Sams Club (N)'!E46</f>
        <v>16.414666666666669</v>
      </c>
      <c r="J46" s="15">
        <f>'Target Up (N)'!E46</f>
        <v>22.611000000000001</v>
      </c>
      <c r="K46" s="15">
        <f>'Aldi (L)'!E46</f>
        <v>17.265295184490306</v>
      </c>
      <c r="L46" s="15">
        <f>'Walmart (L)'!E46</f>
        <v>15.795</v>
      </c>
    </row>
    <row r="47" spans="1:17" x14ac:dyDescent="0.4">
      <c r="A47" s="11" t="s">
        <v>71</v>
      </c>
    </row>
    <row r="49" spans="1:17" x14ac:dyDescent="0.4">
      <c r="A49" s="29" t="s">
        <v>99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17">
        <v>4</v>
      </c>
    </row>
    <row r="50" spans="1:17" x14ac:dyDescent="0.4">
      <c r="A50" t="s">
        <v>100</v>
      </c>
      <c r="B50" t="s">
        <v>101</v>
      </c>
      <c r="C50" s="15">
        <f>'Wegmans (F)'!E50</f>
        <v>0</v>
      </c>
      <c r="D50" s="15">
        <f>'Trader Joes (F)'!E50</f>
        <v>2.2000000000000002</v>
      </c>
      <c r="E50" s="15">
        <f>'Mclanahans (N)'!E50</f>
        <v>1.95</v>
      </c>
      <c r="F50" s="15">
        <f>'Weis (N)'!E50</f>
        <v>0.35</v>
      </c>
      <c r="G50" s="23">
        <f>'Target D (T)'!E50</f>
        <v>0.26560000000000006</v>
      </c>
      <c r="H50" s="15">
        <f>'Giant (T)'!E50</f>
        <v>0.38842105263157894</v>
      </c>
      <c r="I50" s="15">
        <f>'Sams Club (N)'!E50</f>
        <v>0.31999999999999995</v>
      </c>
      <c r="J50" s="15">
        <f>'Target Up (N)'!E50</f>
        <v>0.28457142857142859</v>
      </c>
      <c r="K50" s="15">
        <f>'Aldi (L)'!E50</f>
        <v>0.23052631578947366</v>
      </c>
      <c r="L50" s="15">
        <f>'Walmart (L)'!E50</f>
        <v>0.58736842105263154</v>
      </c>
    </row>
    <row r="51" spans="1:17" x14ac:dyDescent="0.4">
      <c r="A51" t="s">
        <v>103</v>
      </c>
      <c r="B51" t="s">
        <v>104</v>
      </c>
      <c r="C51" s="15">
        <f>'Wegmans (F)'!E51</f>
        <v>0</v>
      </c>
      <c r="D51" s="15">
        <f>'Trader Joes (F)'!E51</f>
        <v>14</v>
      </c>
      <c r="E51" s="15">
        <f>'Mclanahans (N)'!E51</f>
        <v>0.17</v>
      </c>
      <c r="F51" s="15">
        <f>'Weis (N)'!E51</f>
        <v>0.05</v>
      </c>
      <c r="G51" s="15">
        <f>'Target D (T)'!E51</f>
        <v>4.2251655629139073E-2</v>
      </c>
      <c r="H51" s="15">
        <f>'Giant (T)'!E51</f>
        <v>4.6225165562913909E-2</v>
      </c>
      <c r="I51" s="15">
        <f>'Sams Club (N)'!E51</f>
        <v>3.2899999999999999E-2</v>
      </c>
      <c r="J51" s="15">
        <f>'Target Up (N)'!E51</f>
        <v>4.1428571428571426E-2</v>
      </c>
      <c r="K51" s="15">
        <f>'Aldi (L)'!E51</f>
        <v>4.2818791946308721E-2</v>
      </c>
      <c r="L51" s="15">
        <f>'Walmart (L)'!E51</f>
        <v>9.0526315789473677E-2</v>
      </c>
    </row>
    <row r="52" spans="1:17" x14ac:dyDescent="0.4">
      <c r="A52" s="3" t="s">
        <v>106</v>
      </c>
      <c r="B52" t="s">
        <v>47</v>
      </c>
      <c r="C52" s="15">
        <f>'Wegmans (F)'!E52</f>
        <v>0</v>
      </c>
      <c r="D52" s="15">
        <f>'Trader Joes (F)'!E52</f>
        <v>0</v>
      </c>
      <c r="E52" s="15">
        <f>'Mclanahans (N)'!E52</f>
        <v>0.14000000000000001</v>
      </c>
      <c r="F52" s="15">
        <f>'Weis (N)'!E52</f>
        <v>0.16</v>
      </c>
      <c r="G52" s="15">
        <f>'Target D (T)'!E52</f>
        <v>8.3133159268929502E-2</v>
      </c>
      <c r="H52" s="15">
        <f>'Giant (T)'!E52</f>
        <v>0.11260869565217391</v>
      </c>
      <c r="I52" s="15">
        <f>'Sams Club (N)'!E52</f>
        <v>6.0118181818181821E-2</v>
      </c>
      <c r="J52" s="15">
        <f>'Target Up (N)'!E52</f>
        <v>0.11208333333333333</v>
      </c>
      <c r="K52" s="15">
        <f>'Aldi (L)'!E52</f>
        <v>8.5416666666666655E-2</v>
      </c>
      <c r="L52" s="15">
        <f>'Walmart (L)'!E52</f>
        <v>8.249999999999999E-2</v>
      </c>
    </row>
    <row r="53" spans="1:17" x14ac:dyDescent="0.4">
      <c r="A53" s="3" t="s">
        <v>108</v>
      </c>
      <c r="B53" t="s">
        <v>109</v>
      </c>
      <c r="C53" s="15">
        <f>'Wegmans (F)'!E53</f>
        <v>0</v>
      </c>
      <c r="D53" s="15">
        <f>'Trader Joes (F)'!E53</f>
        <v>0</v>
      </c>
      <c r="E53" s="15">
        <f>'Mclanahans (N)'!E53</f>
        <v>0.01</v>
      </c>
      <c r="F53" s="15">
        <f>'Weis (N)'!E53</f>
        <v>0.01</v>
      </c>
      <c r="G53" s="15">
        <f>'Target D (T)'!E53</f>
        <v>8.6413043478260863E-3</v>
      </c>
      <c r="H53" s="15">
        <f>'Giant (T)'!E53</f>
        <v>5.5000000000000005E-3</v>
      </c>
      <c r="I53" s="15">
        <f>'Sams Club (N)'!E53</f>
        <v>3.2888888888888891E-2</v>
      </c>
      <c r="J53" s="15">
        <f>'Target Up (N)'!E53</f>
        <v>8.3684210526315788E-3</v>
      </c>
      <c r="K53" s="15">
        <f>'Aldi (L)'!E53</f>
        <v>5.1562499999999994E-3</v>
      </c>
      <c r="L53" s="15">
        <f>'Walmart (L)'!E53</f>
        <v>0.01</v>
      </c>
    </row>
    <row r="54" spans="1:17" x14ac:dyDescent="0.4">
      <c r="A54" t="s">
        <v>111</v>
      </c>
      <c r="B54" t="s">
        <v>109</v>
      </c>
      <c r="C54" s="15">
        <f>'Wegmans (F)'!E54</f>
        <v>0</v>
      </c>
      <c r="D54" s="15">
        <f>'Trader Joes (F)'!E54</f>
        <v>0.01</v>
      </c>
      <c r="E54" s="15">
        <f>'Mclanahans (N)'!E54</f>
        <v>0.15</v>
      </c>
      <c r="F54" s="15">
        <f>'Weis (N)'!E54</f>
        <v>0.1</v>
      </c>
      <c r="G54" s="15">
        <f>'Target D (T)'!E54</f>
        <v>2.8028169014084506E-2</v>
      </c>
      <c r="H54" s="15">
        <f>'Giant (T)'!E54</f>
        <v>2.8028169014084506E-2</v>
      </c>
      <c r="I54" s="15">
        <f>'Sams Club (N)'!E54</f>
        <v>7.7499999999999999E-2</v>
      </c>
      <c r="J54" s="15">
        <f>'Target Up (N)'!E54</f>
        <v>0.14599999999999999</v>
      </c>
      <c r="K54" s="15">
        <f>'Aldi (L)'!E54</f>
        <v>0.01</v>
      </c>
      <c r="L54" s="15">
        <f>'Walmart (L)'!E54</f>
        <v>0.01</v>
      </c>
    </row>
    <row r="55" spans="1:17" x14ac:dyDescent="0.4">
      <c r="A55" t="s">
        <v>113</v>
      </c>
      <c r="B55" t="s">
        <v>114</v>
      </c>
      <c r="C55" s="15">
        <f>'Wegmans (F)'!E55</f>
        <v>0</v>
      </c>
      <c r="D55" s="15">
        <f>'Trader Joes (F)'!E55</f>
        <v>0</v>
      </c>
      <c r="E55" s="15" t="str">
        <f>'Mclanahans (N)'!E55</f>
        <v>NA</v>
      </c>
      <c r="F55" s="15">
        <f>'Weis (N)'!E55</f>
        <v>1.06</v>
      </c>
      <c r="G55" s="23">
        <f>'Target D (T)'!E55</f>
        <v>0.38203124999999999</v>
      </c>
      <c r="H55" s="15">
        <f>'Giant (T)'!E55</f>
        <v>1.006875</v>
      </c>
      <c r="I55" s="15" t="str">
        <f>'Sams Club (N)'!E55</f>
        <v>N/A</v>
      </c>
      <c r="J55" s="15">
        <f>'Target Up (N)'!E55</f>
        <v>0.75656250000000003</v>
      </c>
      <c r="K55" s="15" t="str">
        <f>'Aldi (L)'!E55</f>
        <v>NA</v>
      </c>
      <c r="L55" s="15">
        <f>'Walmart (L)'!E55</f>
        <v>1.2037500000000001</v>
      </c>
    </row>
    <row r="56" spans="1:17" x14ac:dyDescent="0.4">
      <c r="A56" t="s">
        <v>116</v>
      </c>
      <c r="B56">
        <v>2</v>
      </c>
      <c r="C56" s="15">
        <f>'Wegmans (F)'!E56</f>
        <v>0</v>
      </c>
      <c r="D56" s="15">
        <f>'Trader Joes (F)'!E56</f>
        <v>1</v>
      </c>
      <c r="E56" s="15">
        <f>'Mclanahans (N)'!E56</f>
        <v>0.61</v>
      </c>
      <c r="F56" s="15">
        <f>'Weis (N)'!E56</f>
        <v>0.33</v>
      </c>
      <c r="G56" s="15">
        <f>'Target D (T)'!E56</f>
        <v>0.33166666666666667</v>
      </c>
      <c r="H56" s="15">
        <f>'Giant (T)'!E56</f>
        <v>0.33166666666666667</v>
      </c>
      <c r="I56" s="15">
        <f>'Sams Club (N)'!E56</f>
        <v>0.36833333333333335</v>
      </c>
      <c r="J56" s="15">
        <f>'Target Up (N)'!E56</f>
        <v>0.49833333333333335</v>
      </c>
      <c r="K56" s="15">
        <f>'Aldi (L)'!E56</f>
        <v>0.36499999999999999</v>
      </c>
      <c r="L56" s="15">
        <f>'Walmart (L)'!E56</f>
        <v>0.37666666666666665</v>
      </c>
    </row>
    <row r="57" spans="1:17" x14ac:dyDescent="0.4">
      <c r="A57" t="s">
        <v>118</v>
      </c>
      <c r="B57" t="s">
        <v>119</v>
      </c>
      <c r="C57" s="15">
        <f>'Wegmans (F)'!E57</f>
        <v>0</v>
      </c>
      <c r="D57" s="15">
        <f>'Trader Joes (F)'!E57</f>
        <v>0</v>
      </c>
      <c r="E57" s="15">
        <f>'Mclanahans (N)'!E57</f>
        <v>0.37</v>
      </c>
      <c r="F57" s="15">
        <f>'Weis (N)'!E57</f>
        <v>0.25</v>
      </c>
      <c r="G57" s="15">
        <f>'Target D (T)'!E57</f>
        <v>0.16625000000000001</v>
      </c>
      <c r="H57" s="15">
        <f>'Giant (T)'!E57</f>
        <v>0.21187500000000001</v>
      </c>
      <c r="I57" s="15">
        <f>'Sams Club (N)'!E57</f>
        <v>0.13416666666666666</v>
      </c>
      <c r="J57" s="15">
        <f>'Target Up (N)'!E57</f>
        <v>0.23249999999999998</v>
      </c>
      <c r="K57" s="15">
        <f>'Aldi (L)'!E57</f>
        <v>0.16041666666666665</v>
      </c>
      <c r="L57" s="15">
        <f>'Walmart (L)'!E57</f>
        <v>0.37125000000000002</v>
      </c>
    </row>
    <row r="58" spans="1:17" x14ac:dyDescent="0.4">
      <c r="A58" s="1" t="s">
        <v>34</v>
      </c>
      <c r="C58" s="15">
        <f>'Wegmans (F)'!E58</f>
        <v>0</v>
      </c>
      <c r="D58" s="15">
        <f>'Trader Joes (F)'!E58</f>
        <v>17.21</v>
      </c>
      <c r="E58" s="15">
        <f>'Mclanahans (N)'!E58</f>
        <v>3.4</v>
      </c>
      <c r="F58" s="15">
        <f>'Weis (N)'!E58</f>
        <v>2.31</v>
      </c>
      <c r="G58" s="15">
        <f>'Target D (T)'!E58</f>
        <v>1.3076022049266458</v>
      </c>
      <c r="H58" s="15">
        <f>'Giant (T)'!E58</f>
        <v>2.131199749527418</v>
      </c>
      <c r="I58" s="15">
        <f>'Sams Club (N)'!E58</f>
        <v>1.0259070707070705</v>
      </c>
      <c r="J58" s="15">
        <f>'Target Up (N)'!E58</f>
        <v>2.0798475877192981</v>
      </c>
      <c r="K58" s="15">
        <f>'Aldi (L)'!E58</f>
        <v>0.89933469106911557</v>
      </c>
      <c r="L58" s="15">
        <f>'Walmart (L)'!E58</f>
        <v>2.7320614035087716</v>
      </c>
    </row>
    <row r="59" spans="1:17" x14ac:dyDescent="0.4">
      <c r="A59" s="13" t="s">
        <v>121</v>
      </c>
    </row>
    <row r="61" spans="1:17" x14ac:dyDescent="0.4">
      <c r="A61" s="29" t="s">
        <v>122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30"/>
      <c r="Q61" s="17">
        <v>2</v>
      </c>
    </row>
    <row r="62" spans="1:17" x14ac:dyDescent="0.4">
      <c r="A62" t="s">
        <v>123</v>
      </c>
      <c r="B62" t="s">
        <v>124</v>
      </c>
      <c r="C62" s="15">
        <f>'Wegmans (F)'!E62</f>
        <v>0</v>
      </c>
      <c r="D62" s="15">
        <f>'Trader Joes (F)'!E62</f>
        <v>2.99</v>
      </c>
      <c r="E62" s="15">
        <f>'Mclanahans (N)'!E62</f>
        <v>1.34</v>
      </c>
      <c r="F62" s="15">
        <f>'Weis (N)'!E62</f>
        <v>0.56000000000000005</v>
      </c>
      <c r="G62" s="15">
        <f>'Target D (T)'!E62</f>
        <v>1.0257142857142856</v>
      </c>
      <c r="H62" s="15">
        <f>'Giant (T)'!E62</f>
        <v>1.4957142857142858</v>
      </c>
      <c r="I62" s="15">
        <f>'Sams Club (N)'!E62</f>
        <v>0.48428571428571421</v>
      </c>
      <c r="J62" s="15">
        <f>'Target Up (N)'!E62</f>
        <v>1.794</v>
      </c>
      <c r="K62" s="15">
        <f>'Aldi (L)'!E62</f>
        <v>1.0966666666666667</v>
      </c>
      <c r="L62" s="15">
        <f>'Walmart (L)'!E62</f>
        <v>1.9085714285714284</v>
      </c>
    </row>
    <row r="63" spans="1:17" x14ac:dyDescent="0.4">
      <c r="A63" t="s">
        <v>126</v>
      </c>
      <c r="B63" t="s">
        <v>127</v>
      </c>
      <c r="C63" s="15">
        <f>'Wegmans (F)'!E63</f>
        <v>0</v>
      </c>
      <c r="D63" s="15">
        <f>'Trader Joes (F)'!E63</f>
        <v>3.75</v>
      </c>
      <c r="E63" s="15">
        <f>'Mclanahans (N)'!E63</f>
        <v>1.77</v>
      </c>
      <c r="F63" s="15">
        <f>'Weis (N)'!E63</f>
        <v>2.66</v>
      </c>
      <c r="G63" s="15">
        <f>'Target D (T)'!E63</f>
        <v>2.4950000000000001</v>
      </c>
      <c r="H63" s="15">
        <f>'Giant (T)'!E63</f>
        <v>2.4950000000000001</v>
      </c>
      <c r="I63" s="15">
        <f>'Sams Club (N)'!E63</f>
        <v>1.44</v>
      </c>
      <c r="J63" s="15">
        <f>'Target Up (N)'!E63</f>
        <v>3.1924999999999999</v>
      </c>
      <c r="K63" s="15">
        <f>'Aldi (L)'!E63</f>
        <v>2.895</v>
      </c>
      <c r="L63" s="15">
        <f>'Walmart (L)'!E63</f>
        <v>2.2050000000000001</v>
      </c>
    </row>
    <row r="64" spans="1:17" x14ac:dyDescent="0.4">
      <c r="A64" t="s">
        <v>134</v>
      </c>
      <c r="B64" t="s">
        <v>38</v>
      </c>
      <c r="C64" s="15">
        <f>'Wegmans (F)'!E64</f>
        <v>0</v>
      </c>
      <c r="D64" s="15">
        <f>'Trader Joes (F)'!E64</f>
        <v>0.99</v>
      </c>
      <c r="E64" s="15">
        <f>'Mclanahans (N)'!E65</f>
        <v>0.25</v>
      </c>
      <c r="F64" s="15">
        <f>'Weis (N)'!E64</f>
        <v>0.45</v>
      </c>
      <c r="G64" s="15">
        <f>'Target D (T)'!E64</f>
        <v>0.33166666666666667</v>
      </c>
      <c r="H64" s="15">
        <f>'Giant (T)'!E64</f>
        <v>0.33166666666666667</v>
      </c>
      <c r="I64" s="15">
        <f>'Sams Club (N)'!E64</f>
        <v>0.89500000000000002</v>
      </c>
      <c r="J64" s="15">
        <f>'Target Up (N)'!E64</f>
        <v>0.66333333333333333</v>
      </c>
      <c r="K64" s="15">
        <f>'Aldi (L)'!E64</f>
        <v>1.5449999999999999</v>
      </c>
      <c r="L64" s="15">
        <f>'Walmart (L)'!E64</f>
        <v>0.34666666666666668</v>
      </c>
    </row>
    <row r="65" spans="1:17" x14ac:dyDescent="0.4">
      <c r="A65" s="3" t="s">
        <v>137</v>
      </c>
      <c r="B65" t="s">
        <v>138</v>
      </c>
      <c r="C65" s="15">
        <f>'Wegmans (F)'!E65</f>
        <v>0</v>
      </c>
      <c r="D65" s="15">
        <f>'Trader Joes (F)'!E65</f>
        <v>1.5</v>
      </c>
      <c r="E65" s="15" t="e">
        <f>'Mclanahans (N)'!#REF!</f>
        <v>#REF!</v>
      </c>
      <c r="F65" s="15">
        <f>'Weis (N)'!E65</f>
        <v>0.15</v>
      </c>
      <c r="G65" s="15" t="str">
        <f>'Target D (T)'!E65</f>
        <v>NA</v>
      </c>
      <c r="H65" s="15">
        <f>'Giant (T)'!E65</f>
        <v>7.9500000000000015E-2</v>
      </c>
      <c r="I65" s="15">
        <f>'Sams Club (N)'!E65</f>
        <v>0.1073846153846154</v>
      </c>
      <c r="J65" s="15">
        <f>'Target Up (N)'!E65</f>
        <v>0.22900000000000001</v>
      </c>
      <c r="K65" s="15">
        <f>'Aldi (L)'!E65</f>
        <v>0.14899999999999999</v>
      </c>
      <c r="L65" s="15">
        <f>'Walmart (L)'!E65</f>
        <v>7.0999999999999994E-2</v>
      </c>
    </row>
    <row r="66" spans="1:17" x14ac:dyDescent="0.4">
      <c r="A66" t="s">
        <v>140</v>
      </c>
      <c r="B66" t="s">
        <v>22</v>
      </c>
      <c r="C66" s="15">
        <f>'Wegmans (F)'!E66</f>
        <v>0</v>
      </c>
      <c r="D66" s="15">
        <f>'Trader Joes (F)'!E66</f>
        <v>0.36</v>
      </c>
      <c r="E66" s="15">
        <f>'Mclanahans (N)'!E66</f>
        <v>0.34</v>
      </c>
      <c r="F66" s="15">
        <f>'Weis (N)'!E66</f>
        <v>0.13</v>
      </c>
      <c r="G66" s="15">
        <f>'Target D (T)'!E66</f>
        <v>0.21187500000000001</v>
      </c>
      <c r="H66" s="15">
        <f>'Giant (T)'!E66</f>
        <v>1.3687499999999999</v>
      </c>
      <c r="I66" s="15" t="str">
        <f>'Sams Club (N)'!E66</f>
        <v>N/A</v>
      </c>
      <c r="J66" s="15">
        <f>'Target Up (N)'!E66</f>
        <v>0.230625</v>
      </c>
      <c r="K66" s="15">
        <f>'Aldi (L)'!E66</f>
        <v>0.13437499999999999</v>
      </c>
      <c r="L66" s="15">
        <f>'Walmart (L)'!E66</f>
        <v>0.123125</v>
      </c>
    </row>
    <row r="67" spans="1:17" x14ac:dyDescent="0.4">
      <c r="A67" s="1" t="s">
        <v>34</v>
      </c>
      <c r="C67" s="15">
        <f>'Wegmans (F)'!E67</f>
        <v>0</v>
      </c>
      <c r="D67" s="15">
        <f>'Trader Joes (F)'!E67</f>
        <v>9.59</v>
      </c>
      <c r="E67" s="15">
        <f>'Mclanahans (N)'!E67</f>
        <v>4.3900000000000006</v>
      </c>
      <c r="F67" s="15">
        <f>'Weis (N)'!E67</f>
        <v>3.95</v>
      </c>
      <c r="G67" s="15">
        <f>'Target D (T)'!E67</f>
        <v>4.0642559523809521</v>
      </c>
      <c r="H67" s="15">
        <f>'Giant (T)'!E67</f>
        <v>5.7706309523809534</v>
      </c>
      <c r="I67" s="15">
        <f>'Sams Club (N)'!E67</f>
        <v>2.9266703296703294</v>
      </c>
      <c r="J67" s="15">
        <f>'Target Up (N)'!E67</f>
        <v>6.1094583333333325</v>
      </c>
      <c r="K67" s="15">
        <f>'Aldi (L)'!E67</f>
        <v>5.8200416666666674</v>
      </c>
      <c r="L67" s="15">
        <f>'Walmart (L)'!E67</f>
        <v>4.6543630952380948</v>
      </c>
    </row>
    <row r="68" spans="1:17" x14ac:dyDescent="0.4">
      <c r="A68" s="13" t="s">
        <v>142</v>
      </c>
    </row>
    <row r="70" spans="1:17" x14ac:dyDescent="0.4">
      <c r="A70" s="29" t="s">
        <v>143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30"/>
      <c r="Q70" s="17">
        <v>4</v>
      </c>
    </row>
    <row r="71" spans="1:17" x14ac:dyDescent="0.4">
      <c r="A71" t="s">
        <v>144</v>
      </c>
      <c r="B71">
        <v>3</v>
      </c>
      <c r="C71" s="15">
        <f>'Wegmans (F)'!E71</f>
        <v>0</v>
      </c>
      <c r="D71" s="15">
        <f>'Trader Joes (F)'!E71</f>
        <v>4.99</v>
      </c>
      <c r="E71" s="15">
        <f>'Mclanahans (N)'!E71</f>
        <v>4.42</v>
      </c>
      <c r="G71" s="15">
        <f>'Target D (T)'!E71</f>
        <v>2.69</v>
      </c>
      <c r="H71" s="15">
        <f>'Giant (T)'!E71</f>
        <v>4.99</v>
      </c>
      <c r="I71" s="15">
        <f>'Sams Club (N)'!E71</f>
        <v>3.335</v>
      </c>
      <c r="J71" s="15">
        <f>'Target Up (N)'!E71</f>
        <v>2.69</v>
      </c>
      <c r="K71" s="15">
        <f>'Aldi (L)'!E71</f>
        <v>1.99</v>
      </c>
      <c r="L71" s="15">
        <f>'Walmart (L)'!E71</f>
        <v>2.48</v>
      </c>
    </row>
    <row r="72" spans="1:17" x14ac:dyDescent="0.4">
      <c r="A72" t="s">
        <v>145</v>
      </c>
      <c r="B72">
        <v>1</v>
      </c>
      <c r="C72" s="15">
        <f>'Wegmans (F)'!E72</f>
        <v>0</v>
      </c>
      <c r="D72" s="15">
        <f>'Trader Joes (F)'!E72</f>
        <v>1.19</v>
      </c>
      <c r="E72" s="15">
        <f>'Mclanahans (N)'!E72</f>
        <v>0.99</v>
      </c>
      <c r="F72" s="15">
        <f>'Weis (N)'!E72</f>
        <v>0.67</v>
      </c>
      <c r="G72" s="15">
        <f>'Target D (T)'!E72</f>
        <v>0.99</v>
      </c>
      <c r="H72" s="15">
        <f>'Giant (T)'!E72</f>
        <v>2.13</v>
      </c>
      <c r="I72" s="15">
        <f>'Sams Club (N)'!E72</f>
        <v>0.48700000000000004</v>
      </c>
      <c r="J72" s="15">
        <f>'Target Up (N)'!E72</f>
        <v>0.89</v>
      </c>
      <c r="K72" s="15">
        <f>'Aldi (L)'!E72</f>
        <v>0.438</v>
      </c>
      <c r="L72" s="15">
        <f>'Walmart (L)'!E72</f>
        <v>1.27</v>
      </c>
    </row>
    <row r="73" spans="1:17" x14ac:dyDescent="0.4">
      <c r="A73" t="s">
        <v>146</v>
      </c>
      <c r="B73">
        <v>1</v>
      </c>
      <c r="C73" s="15">
        <f>'Wegmans (F)'!E73</f>
        <v>0</v>
      </c>
      <c r="D73" s="15">
        <f>'Trader Joes (F)'!E73</f>
        <v>0</v>
      </c>
      <c r="E73" s="15">
        <f>'Mclanahans (N)'!E73</f>
        <v>1.95</v>
      </c>
      <c r="F73" s="15">
        <f>'Weis (N)'!E73</f>
        <v>0.84</v>
      </c>
      <c r="G73" s="15">
        <f>'Target D (T)'!E73</f>
        <v>1.89</v>
      </c>
      <c r="H73" s="15">
        <f>'Giant (T)'!E73</f>
        <v>0.90535714285714275</v>
      </c>
      <c r="I73" s="15">
        <f>'Sams Club (N)'!E73</f>
        <v>0.75401785714285707</v>
      </c>
      <c r="J73" s="15">
        <f>'Target Up (N)'!E73</f>
        <v>3.79</v>
      </c>
      <c r="K73" s="15">
        <f>'Aldi (L)'!E73</f>
        <v>0.8839285714285714</v>
      </c>
      <c r="L73" s="15">
        <f>'Walmart (L)'!E73</f>
        <v>1.48</v>
      </c>
    </row>
    <row r="74" spans="1:17" x14ac:dyDescent="0.4">
      <c r="A74" t="s">
        <v>147</v>
      </c>
      <c r="B74" t="s">
        <v>148</v>
      </c>
      <c r="C74" s="15">
        <f>'Wegmans (F)'!E74</f>
        <v>0</v>
      </c>
      <c r="D74" s="15">
        <f>'Trader Joes (F)'!E74</f>
        <v>0.3</v>
      </c>
      <c r="E74" s="15">
        <f>'Mclanahans (N)'!E74</f>
        <v>0.26</v>
      </c>
      <c r="F74" s="15">
        <f>'Weis (N)'!E74</f>
        <v>0.35</v>
      </c>
      <c r="G74" s="15">
        <f>'Target D (T)'!E74</f>
        <v>0.19363636363636363</v>
      </c>
      <c r="H74" s="15">
        <f>'Giant (T)'!E74</f>
        <v>0.21181818181818182</v>
      </c>
      <c r="I74" s="15">
        <f>'Sams Club (N)'!E74</f>
        <v>9.6005917159763324E-2</v>
      </c>
      <c r="J74" s="15">
        <f>'Target Up (N)'!E74</f>
        <v>0.18905325443786983</v>
      </c>
      <c r="K74" s="15">
        <f>'Aldi (L)'!E74</f>
        <v>0.18382352941176469</v>
      </c>
      <c r="L74" s="15">
        <f>'Walmart (L)'!E74</f>
        <v>0.17470588235294118</v>
      </c>
    </row>
    <row r="75" spans="1:17" x14ac:dyDescent="0.4">
      <c r="A75" t="s">
        <v>73</v>
      </c>
      <c r="B75" t="s">
        <v>149</v>
      </c>
      <c r="C75" s="15">
        <f>'Wegmans (F)'!E75</f>
        <v>0</v>
      </c>
      <c r="D75" s="15">
        <f>'Trader Joes (F)'!E75</f>
        <v>6.49</v>
      </c>
      <c r="E75" s="15">
        <f>'Mclanahans (N)'!E75</f>
        <v>10.59</v>
      </c>
      <c r="F75" s="15">
        <f>'Weis (N)'!E75</f>
        <v>7.29</v>
      </c>
      <c r="G75" s="15">
        <f>'Target D (T)'!E75</f>
        <v>6.19</v>
      </c>
      <c r="H75" s="15">
        <f>'Giant (T)'!E75</f>
        <v>6.89</v>
      </c>
      <c r="I75" s="15">
        <f>'Sams Club (N)'!E75</f>
        <v>5.96</v>
      </c>
      <c r="J75" s="15">
        <f>'Target Up (N)'!E75</f>
        <v>7.99</v>
      </c>
      <c r="K75" s="15">
        <f>'Aldi (L)'!E75</f>
        <v>6.95</v>
      </c>
      <c r="L75" s="15">
        <f>'Walmart (L)'!E75</f>
        <v>6.26</v>
      </c>
    </row>
    <row r="76" spans="1:17" x14ac:dyDescent="0.4">
      <c r="A76" t="s">
        <v>150</v>
      </c>
      <c r="B76" t="s">
        <v>101</v>
      </c>
      <c r="C76" s="15">
        <f>'Wegmans (F)'!E76</f>
        <v>0</v>
      </c>
      <c r="D76" s="15">
        <f>'Trader Joes (F)'!E76</f>
        <v>0</v>
      </c>
      <c r="E76" s="15">
        <f>'Mclanahans (N)'!E76</f>
        <v>1.24</v>
      </c>
      <c r="F76" s="15">
        <f>'Weis (N)'!E76</f>
        <v>1.25</v>
      </c>
      <c r="G76" s="15">
        <f>'Target D (T)'!E76</f>
        <v>0.79500000000000004</v>
      </c>
      <c r="H76" s="15">
        <f>'Giant (T)'!E76</f>
        <v>0.84499999999999997</v>
      </c>
      <c r="I76" s="15">
        <f>'Sams Club (N)'!E76</f>
        <v>0.9966666666666667</v>
      </c>
      <c r="J76" s="15">
        <f>'Target Up (N)'!E76</f>
        <v>0.89500000000000002</v>
      </c>
      <c r="K76" s="15">
        <f>'Aldi (L)'!E76</f>
        <v>0.77500000000000002</v>
      </c>
      <c r="L76" s="15">
        <f>'Walmart (L)'!E76</f>
        <v>0.75</v>
      </c>
    </row>
    <row r="77" spans="1:17" x14ac:dyDescent="0.4">
      <c r="A77" t="s">
        <v>151</v>
      </c>
      <c r="B77" t="s">
        <v>17</v>
      </c>
      <c r="C77" s="15">
        <f>'Wegmans (F)'!E77</f>
        <v>0</v>
      </c>
      <c r="D77" s="15">
        <f>'Trader Joes (F)'!E77</f>
        <v>0.67</v>
      </c>
      <c r="E77" s="15">
        <f>'Mclanahans (N)'!E77</f>
        <v>1.1499999999999999</v>
      </c>
      <c r="F77" s="15">
        <f>'Weis (N)'!E77</f>
        <v>0.66</v>
      </c>
      <c r="G77" s="15">
        <f>'Target D (T)'!E77</f>
        <v>0.378</v>
      </c>
      <c r="H77" s="15">
        <f>'Giant (T)'!E77</f>
        <v>0.39600000000000002</v>
      </c>
      <c r="I77" s="15">
        <f>'Sams Club (N)'!E77</f>
        <v>0.18368000000000001</v>
      </c>
      <c r="J77" s="15">
        <f>'Target Up (N)'!E77</f>
        <v>0.47249999999999998</v>
      </c>
      <c r="K77" s="15">
        <f>'Aldi (L)'!E77</f>
        <v>0.32777777777777778</v>
      </c>
      <c r="L77" s="15">
        <f>'Walmart (L)'!E77</f>
        <v>0.36799999999999999</v>
      </c>
    </row>
    <row r="78" spans="1:17" x14ac:dyDescent="0.4">
      <c r="A78" t="s">
        <v>152</v>
      </c>
      <c r="B78" t="s">
        <v>68</v>
      </c>
      <c r="C78" s="15">
        <f>'Wegmans (F)'!E78</f>
        <v>0</v>
      </c>
      <c r="D78" s="15">
        <f>'Trader Joes (F)'!E78</f>
        <v>0</v>
      </c>
      <c r="E78" s="15">
        <f>'Mclanahans (N)'!E78</f>
        <v>0.05</v>
      </c>
      <c r="F78" s="15">
        <f>'Weis (N)'!E78</f>
        <v>0.05</v>
      </c>
      <c r="G78" s="15">
        <f>'Target D (T)'!E78</f>
        <v>1.6760563380281691E-2</v>
      </c>
      <c r="H78" s="15">
        <f>'Giant (T)'!E78</f>
        <v>3.6478873239436618E-2</v>
      </c>
      <c r="I78" s="15">
        <f>'Sams Club (N)'!E78</f>
        <v>9.3777777777777779E-2</v>
      </c>
      <c r="J78" s="15">
        <f>'Target Up (N)'!E78</f>
        <v>9.9166666666666667E-2</v>
      </c>
      <c r="K78" s="15">
        <f>'Aldi (L)'!E78</f>
        <v>8.3846153846153848E-2</v>
      </c>
      <c r="L78" s="15">
        <f>'Walmart (L)'!E78</f>
        <v>6.0000000000000005E-2</v>
      </c>
    </row>
    <row r="79" spans="1:17" x14ac:dyDescent="0.4">
      <c r="A79" t="s">
        <v>111</v>
      </c>
      <c r="B79" t="s">
        <v>68</v>
      </c>
      <c r="C79" s="15">
        <f>'Wegmans (F)'!E79</f>
        <v>0</v>
      </c>
      <c r="D79" s="15">
        <f>'Trader Joes (F)'!E79</f>
        <v>0.01</v>
      </c>
      <c r="E79" s="15">
        <f>'Mclanahans (N)'!E79</f>
        <v>0.1</v>
      </c>
      <c r="F79" s="15">
        <f>'Weis (N)'!E79</f>
        <v>0.1</v>
      </c>
      <c r="G79" s="15">
        <f>'Target D (T)'!E79</f>
        <v>2.8028169014084506E-2</v>
      </c>
      <c r="H79" s="15">
        <f>'Giant (T)'!E79</f>
        <v>2.8028169014084506E-2</v>
      </c>
      <c r="I79" s="15">
        <f>'Sams Club (N)'!E79</f>
        <v>7.7499999999999999E-2</v>
      </c>
      <c r="J79" s="15">
        <f>'Target Up (N)'!E79</f>
        <v>0.14599999999999999</v>
      </c>
      <c r="K79" s="15">
        <f>'Aldi (L)'!E79</f>
        <v>0.01</v>
      </c>
      <c r="L79" s="15">
        <f>'Walmart (L)'!E79</f>
        <v>0.01</v>
      </c>
    </row>
    <row r="80" spans="1:17" x14ac:dyDescent="0.4">
      <c r="A80" t="s">
        <v>153</v>
      </c>
      <c r="B80" t="s">
        <v>148</v>
      </c>
      <c r="C80" s="15">
        <f>'Wegmans (F)'!E80</f>
        <v>0</v>
      </c>
      <c r="D80" s="15">
        <f>'Trader Joes (F)'!E80</f>
        <v>0</v>
      </c>
      <c r="E80" s="15">
        <f>'Mclanahans (N)'!E80</f>
        <v>0.25</v>
      </c>
      <c r="F80" s="15">
        <f>'Weis (N)'!E80</f>
        <v>0.16</v>
      </c>
      <c r="G80" s="15">
        <f>'Target D (T)'!E80</f>
        <v>0.33222222222222225</v>
      </c>
      <c r="H80" s="15">
        <f>'Giant (T)'!E80</f>
        <v>0.31125000000000003</v>
      </c>
      <c r="I80" s="15">
        <f>'Sams Club (N)'!E80</f>
        <v>0.11833333333333332</v>
      </c>
      <c r="J80" s="15">
        <f>'Target Up (N)'!E80</f>
        <v>0.236875</v>
      </c>
      <c r="K80" s="15">
        <f>'Aldi (L)'!E80</f>
        <v>0.17812500000000001</v>
      </c>
      <c r="L80" s="15">
        <f>'Walmart (L)'!E80</f>
        <v>0.25511596180081858</v>
      </c>
    </row>
    <row r="81" spans="1:17" x14ac:dyDescent="0.4">
      <c r="A81" t="s">
        <v>154</v>
      </c>
      <c r="B81" t="s">
        <v>68</v>
      </c>
      <c r="C81" s="15">
        <f>'Wegmans (F)'!E81</f>
        <v>0</v>
      </c>
      <c r="D81" s="15">
        <f>'Trader Joes (F)'!E81</f>
        <v>0</v>
      </c>
      <c r="E81" s="15">
        <f>'Mclanahans (N)'!E81</f>
        <v>0.11</v>
      </c>
      <c r="F81" s="15">
        <f>'Weis (N)'!E81</f>
        <v>7.0000000000000007E-2</v>
      </c>
      <c r="G81" s="15">
        <f>'Target D (T)'!E81</f>
        <v>5.0281690140845069E-2</v>
      </c>
      <c r="H81" s="15">
        <f>'Giant (T)'!E81</f>
        <v>4.4929577464788734E-2</v>
      </c>
      <c r="I81" s="15">
        <f>'Sams Club (N)'!E81</f>
        <v>8.6981818181818188E-2</v>
      </c>
      <c r="J81" s="15">
        <f>'Target Up (N)'!E81</f>
        <v>9.9166666666666667E-2</v>
      </c>
      <c r="K81" s="15">
        <f>'Aldi (L)'!E81</f>
        <v>0.21800000000000003</v>
      </c>
      <c r="L81" s="15">
        <f>'Walmart (L)'!E81</f>
        <v>0.21600000000000003</v>
      </c>
    </row>
    <row r="82" spans="1:17" x14ac:dyDescent="0.4">
      <c r="A82" t="s">
        <v>155</v>
      </c>
      <c r="B82" t="s">
        <v>68</v>
      </c>
      <c r="C82" s="15">
        <f>'Wegmans (F)'!E82</f>
        <v>0</v>
      </c>
      <c r="D82" s="15">
        <f>'Trader Joes (F)'!E82</f>
        <v>0</v>
      </c>
      <c r="E82" s="15">
        <f>'Mclanahans (N)'!E82</f>
        <v>0.23</v>
      </c>
      <c r="F82" s="15">
        <f>'Weis (N)'!E82</f>
        <v>7.0000000000000007E-2</v>
      </c>
      <c r="G82" s="15">
        <f>'Target D (T)'!E82</f>
        <v>1.6760563380281691E-2</v>
      </c>
      <c r="H82" s="15">
        <f>'Giant (T)'!E82</f>
        <v>4.0704225352112676E-2</v>
      </c>
      <c r="I82" s="15">
        <f>'Sams Club (N)'!E82</f>
        <v>3.1007407407407414E-2</v>
      </c>
      <c r="J82" s="15">
        <f>'Target Up (N)'!E82</f>
        <v>9.9166666666666667E-2</v>
      </c>
      <c r="K82" s="15">
        <f>'Aldi (L)'!E82</f>
        <v>0.10900000000000001</v>
      </c>
      <c r="L82" s="15">
        <f>'Walmart (L)'!E82</f>
        <v>0.06</v>
      </c>
    </row>
    <row r="83" spans="1:17" x14ac:dyDescent="0.4">
      <c r="A83" s="1" t="s">
        <v>34</v>
      </c>
      <c r="C83" s="15">
        <f>'Wegmans (F)'!E83</f>
        <v>0</v>
      </c>
      <c r="D83" s="15">
        <f>'Trader Joes (F)'!E83</f>
        <v>13.649999999999999</v>
      </c>
      <c r="E83" s="15">
        <f>'Mclanahans (N)'!E83</f>
        <v>21.34</v>
      </c>
      <c r="F83" s="15">
        <f>'Weis (N)'!E83</f>
        <v>13.000000000000002</v>
      </c>
      <c r="G83" s="15">
        <f>'Target D (T)'!E83</f>
        <v>13.570689571774082</v>
      </c>
      <c r="H83" s="15">
        <f>'Giant (T)'!E83</f>
        <v>16.829566169745746</v>
      </c>
      <c r="I83" s="15">
        <f>'Sams Club (N)'!E83</f>
        <v>12.219970777669626</v>
      </c>
      <c r="J83" s="15">
        <f>'Target Up (N)'!E83</f>
        <v>17.59692825443787</v>
      </c>
      <c r="K83" s="15">
        <f>'Aldi (L)'!E83</f>
        <v>12.147501032464266</v>
      </c>
      <c r="L83" s="15">
        <f>'Walmart (L)'!E83</f>
        <v>13.38382184415376</v>
      </c>
    </row>
    <row r="84" spans="1:17" x14ac:dyDescent="0.4">
      <c r="A84" s="11" t="s">
        <v>71</v>
      </c>
    </row>
    <row r="86" spans="1:17" x14ac:dyDescent="0.4">
      <c r="A86" s="29" t="s">
        <v>194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30"/>
      <c r="Q86" s="17">
        <v>4</v>
      </c>
    </row>
    <row r="87" spans="1:17" x14ac:dyDescent="0.4">
      <c r="A87" t="s">
        <v>73</v>
      </c>
      <c r="B87" t="s">
        <v>149</v>
      </c>
      <c r="C87" s="15">
        <f>'Wegmans (F)'!E87</f>
        <v>0</v>
      </c>
      <c r="D87" s="15">
        <f>'Trader Joes (F)'!E87</f>
        <v>6.49</v>
      </c>
      <c r="E87" s="15">
        <f>'Mclanahans (N)'!E87</f>
        <v>10.59</v>
      </c>
      <c r="F87" s="15">
        <f>'Weis (N)'!E87</f>
        <v>7.29</v>
      </c>
      <c r="G87" s="15">
        <f>'Target D (T)'!E87</f>
        <v>6.19</v>
      </c>
      <c r="H87" s="15">
        <f>'Giant (T)'!E87</f>
        <v>6.89</v>
      </c>
      <c r="I87" s="15">
        <f>'Sams Club (N)'!E87</f>
        <v>5.96</v>
      </c>
      <c r="J87" s="15">
        <f>'Target Up (N)'!E87</f>
        <v>7.99</v>
      </c>
      <c r="K87" s="15">
        <f>'Aldi (L)'!E87</f>
        <v>6.95</v>
      </c>
      <c r="L87" s="15">
        <f>'Walmart (L)'!E87</f>
        <v>6.26</v>
      </c>
    </row>
    <row r="88" spans="1:17" x14ac:dyDescent="0.4">
      <c r="A88" t="s">
        <v>145</v>
      </c>
      <c r="B88" s="9">
        <v>0.5</v>
      </c>
      <c r="C88" s="15">
        <f>'Wegmans (F)'!E88</f>
        <v>0</v>
      </c>
      <c r="D88" s="15">
        <f>'Trader Joes (F)'!E88</f>
        <v>0.75</v>
      </c>
      <c r="E88" s="15">
        <f>'Mclanahans (N)'!E88</f>
        <v>0.49</v>
      </c>
      <c r="F88" s="15">
        <f>'Weis (N)'!E88</f>
        <v>0.34</v>
      </c>
      <c r="G88" s="15">
        <f>'Target D (T)'!E88</f>
        <v>0.99</v>
      </c>
      <c r="H88" s="15">
        <f>'Giant (T)'!E88</f>
        <v>1.0649999999999999</v>
      </c>
      <c r="I88" s="15">
        <f>'Sams Club (N)'!E88</f>
        <v>0.48700000000000004</v>
      </c>
      <c r="J88" s="15">
        <f>'Target Up (N)'!E88</f>
        <v>0.44500000000000001</v>
      </c>
      <c r="K88" s="15">
        <f>'Aldi (L)'!E88</f>
        <v>0.219</v>
      </c>
      <c r="L88" s="15">
        <f>'Walmart (L)'!E88</f>
        <v>0.63500000000000001</v>
      </c>
    </row>
    <row r="89" spans="1:17" x14ac:dyDescent="0.4">
      <c r="A89" t="s">
        <v>157</v>
      </c>
      <c r="B89" s="8" t="s">
        <v>17</v>
      </c>
      <c r="C89" s="15">
        <f>'Wegmans (F)'!E89</f>
        <v>0</v>
      </c>
      <c r="D89" s="15">
        <f>'Trader Joes (F)'!E89</f>
        <v>2.39</v>
      </c>
      <c r="E89" s="15" t="str">
        <f>'Mclanahans (N)'!E89</f>
        <v>NA</v>
      </c>
      <c r="F89" s="15">
        <f>'Weis (N)'!E89</f>
        <v>0.53</v>
      </c>
      <c r="G89" s="15">
        <f>'Target D (T)'!E89</f>
        <v>0.30352941176470588</v>
      </c>
      <c r="H89" s="15">
        <f>'Giant (T)'!E89</f>
        <v>0.4975</v>
      </c>
      <c r="I89" s="15">
        <f>'Sams Club (N)'!E89</f>
        <v>0.23760000000000003</v>
      </c>
      <c r="J89" s="15">
        <f>'Target Up (N)'!E89</f>
        <v>0.8584615384615385</v>
      </c>
      <c r="K89" s="15">
        <f>'Aldi (L)'!E89</f>
        <v>3.8571428571428576E-2</v>
      </c>
      <c r="L89" s="15">
        <f>'Walmart (L)'!E89</f>
        <v>0.32533333333333331</v>
      </c>
    </row>
    <row r="90" spans="1:17" x14ac:dyDescent="0.4">
      <c r="A90" t="s">
        <v>158</v>
      </c>
      <c r="B90">
        <v>1</v>
      </c>
      <c r="C90" s="15">
        <f>'Wegmans (F)'!E90</f>
        <v>0</v>
      </c>
      <c r="D90" s="15">
        <f>'Trader Joes (F)'!E90</f>
        <v>0.5</v>
      </c>
      <c r="E90" s="15">
        <f>'Mclanahans (N)'!E90</f>
        <v>0.3</v>
      </c>
      <c r="F90" s="15">
        <f>'Weis (N)'!E90</f>
        <v>0.17</v>
      </c>
      <c r="G90" s="15">
        <f>'Target D (T)'!E90</f>
        <v>0.16583333333333333</v>
      </c>
      <c r="H90" s="15">
        <f>'Giant (T)'!E90</f>
        <v>0.16583333333333333</v>
      </c>
      <c r="I90" s="15">
        <f>'Sams Club (N)'!E90</f>
        <v>0.18416666666666667</v>
      </c>
      <c r="J90" s="15">
        <f>'Target Up (N)'!E90</f>
        <v>0.24916666666666668</v>
      </c>
      <c r="K90" s="15">
        <f>'Aldi (L)'!E90</f>
        <v>0.1825</v>
      </c>
      <c r="L90" s="15">
        <f>'Walmart (L)'!E90</f>
        <v>0.18833333333333332</v>
      </c>
    </row>
    <row r="91" spans="1:17" x14ac:dyDescent="0.4">
      <c r="A91" t="s">
        <v>43</v>
      </c>
      <c r="B91" t="s">
        <v>38</v>
      </c>
      <c r="C91" s="15">
        <f>'Wegmans (F)'!E91</f>
        <v>0</v>
      </c>
      <c r="D91" s="15">
        <f>'Trader Joes (F)'!E91</f>
        <v>0</v>
      </c>
      <c r="E91" s="15">
        <f>'Mclanahans (N)'!E91</f>
        <v>0.08</v>
      </c>
      <c r="F91" s="15">
        <f>'Weis (N)'!E91</f>
        <v>0.11</v>
      </c>
      <c r="G91" s="15">
        <f>'Target D (T)'!E91</f>
        <v>7.6406249999999995E-2</v>
      </c>
      <c r="H91" s="15">
        <f>'Giant (T)'!E91</f>
        <v>0.10125000000000001</v>
      </c>
      <c r="I91" s="15">
        <f>'Sams Club (N)'!E91</f>
        <v>0.13355932203389831</v>
      </c>
      <c r="J91" s="15">
        <f>'Target Up (N)'!E91</f>
        <v>8.4062499999999998E-2</v>
      </c>
      <c r="K91" s="15">
        <f>'Aldi (L)'!E91</f>
        <v>8.7187500000000001E-2</v>
      </c>
      <c r="L91" s="15">
        <f>'Walmart (L)'!E91</f>
        <v>0.14749999999999999</v>
      </c>
    </row>
    <row r="92" spans="1:17" x14ac:dyDescent="0.4">
      <c r="A92" t="s">
        <v>111</v>
      </c>
      <c r="B92" t="s">
        <v>68</v>
      </c>
      <c r="C92" s="15">
        <f>'Wegmans (F)'!E92</f>
        <v>0</v>
      </c>
      <c r="D92" s="15">
        <f>'Trader Joes (F)'!E92</f>
        <v>0.01</v>
      </c>
      <c r="E92" s="15">
        <f>'Mclanahans (N)'!E92</f>
        <v>0.1</v>
      </c>
      <c r="F92" s="15">
        <f>'Weis (N)'!E92</f>
        <v>0.1</v>
      </c>
      <c r="G92" s="15">
        <f>'Target D (T)'!E92</f>
        <v>5.6056338028169013E-2</v>
      </c>
      <c r="H92" s="15">
        <f>'Giant (T)'!E92</f>
        <v>5.6056338028169013E-2</v>
      </c>
      <c r="I92" s="15">
        <f>'Sams Club (N)'!E92</f>
        <v>7.7499999999999999E-2</v>
      </c>
      <c r="J92" s="15">
        <f>'Target Up (N)'!E92</f>
        <v>0.14599999999999999</v>
      </c>
      <c r="K92" s="15">
        <f>'Aldi (L)'!E92</f>
        <v>9.6910569105691055E-2</v>
      </c>
      <c r="L92" s="15">
        <f>'Walmart (L)'!E92</f>
        <v>0.01</v>
      </c>
    </row>
    <row r="93" spans="1:17" x14ac:dyDescent="0.4">
      <c r="A93" t="s">
        <v>147</v>
      </c>
      <c r="B93" t="s">
        <v>148</v>
      </c>
      <c r="C93" s="15">
        <f>'Wegmans (F)'!E93</f>
        <v>0</v>
      </c>
      <c r="D93" s="15">
        <f>'Trader Joes (F)'!E93</f>
        <v>0.3</v>
      </c>
      <c r="E93" s="15">
        <f>'Mclanahans (N)'!E93</f>
        <v>0.26</v>
      </c>
      <c r="F93" s="15">
        <f>'Weis (N)'!E93</f>
        <v>0.35</v>
      </c>
      <c r="G93" s="15">
        <f>'Target D (T)'!E93</f>
        <v>0.19363636363636363</v>
      </c>
      <c r="H93" s="15">
        <f>'Giant (T)'!E93</f>
        <v>0.21181818181818182</v>
      </c>
      <c r="I93" s="15">
        <f>'Sams Club (N)'!E93</f>
        <v>9.6005917159763324E-2</v>
      </c>
      <c r="J93" s="15">
        <f>'Target Up (N)'!E93</f>
        <v>0.18905325443786983</v>
      </c>
      <c r="K93" s="15">
        <f>'Aldi (L)'!E93</f>
        <v>0.18382352941176469</v>
      </c>
      <c r="L93" s="15">
        <f>'Walmart (L)'!E93</f>
        <v>0.17470588235294118</v>
      </c>
    </row>
    <row r="94" spans="1:17" x14ac:dyDescent="0.4">
      <c r="A94" s="1" t="s">
        <v>34</v>
      </c>
      <c r="C94" s="15">
        <f>'Wegmans (F)'!E94</f>
        <v>0</v>
      </c>
      <c r="D94" s="15">
        <f>'Trader Joes (F)'!E94</f>
        <v>10.440000000000001</v>
      </c>
      <c r="E94" s="15">
        <f>'Mclanahans (N)'!E94</f>
        <v>11.82</v>
      </c>
      <c r="F94" s="15">
        <f>'Weis (N)'!E94</f>
        <v>8.8899999999999988</v>
      </c>
      <c r="G94" s="15">
        <f>'Target D (T)'!E94</f>
        <v>7.9754616967625722</v>
      </c>
      <c r="H94" s="15">
        <f>'Giant (T)'!E94</f>
        <v>8.9874578531796843</v>
      </c>
      <c r="I94" s="15">
        <f>'Sams Club (N)'!E94</f>
        <v>7.1758319058603277</v>
      </c>
      <c r="J94" s="15">
        <f>'Target Up (N)'!E94</f>
        <v>9.9617439595660766</v>
      </c>
      <c r="K94" s="15">
        <f>'Aldi (L)'!E94</f>
        <v>7.7579930270888839</v>
      </c>
      <c r="L94" s="15">
        <f>'Walmart (L)'!E94</f>
        <v>7.7408725490196071</v>
      </c>
    </row>
    <row r="95" spans="1:17" x14ac:dyDescent="0.4">
      <c r="A95" s="11" t="s">
        <v>71</v>
      </c>
    </row>
    <row r="97" spans="1:17" x14ac:dyDescent="0.4">
      <c r="A97" s="29" t="s">
        <v>159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30"/>
      <c r="Q97" s="17">
        <v>4</v>
      </c>
    </row>
    <row r="98" spans="1:17" x14ac:dyDescent="0.4">
      <c r="A98" t="s">
        <v>73</v>
      </c>
      <c r="B98" t="s">
        <v>160</v>
      </c>
      <c r="C98" s="15">
        <f>'Wegmans (F)'!E98</f>
        <v>0</v>
      </c>
      <c r="D98" s="15">
        <f>'Trader Joes (F)'!E98</f>
        <v>3.25</v>
      </c>
      <c r="E98" s="15">
        <f>'Mclanahans (N)'!E98</f>
        <v>5.29</v>
      </c>
      <c r="F98" s="15">
        <f>'Weis (N)'!E98</f>
        <v>3.65</v>
      </c>
      <c r="G98" s="15">
        <f>'Target D (T)'!E98</f>
        <v>3.0950000000000002</v>
      </c>
      <c r="H98" s="15">
        <f>'Giant (T)'!E98</f>
        <v>3.4449999999999998</v>
      </c>
      <c r="I98" s="15">
        <f>'Sams Club (N)'!E98</f>
        <v>2.98</v>
      </c>
      <c r="J98" s="15">
        <f>'Target Up (N)'!E98</f>
        <v>3.9950000000000001</v>
      </c>
      <c r="K98" s="15">
        <f>'Aldi (L)'!E98</f>
        <v>3.4750000000000001</v>
      </c>
      <c r="L98" s="15">
        <f>'Walmart (L)'!E98</f>
        <v>3.13</v>
      </c>
    </row>
    <row r="99" spans="1:17" x14ac:dyDescent="0.4">
      <c r="A99" t="s">
        <v>161</v>
      </c>
      <c r="B99" t="s">
        <v>17</v>
      </c>
      <c r="C99" s="15">
        <f>'Wegmans (F)'!E99</f>
        <v>0</v>
      </c>
      <c r="D99" s="15">
        <f>'Trader Joes (F)'!E99</f>
        <v>0.67</v>
      </c>
      <c r="E99" s="15">
        <f>'Mclanahans (N)'!E99</f>
        <v>1.1499999999999999</v>
      </c>
      <c r="F99" s="15">
        <f>'Weis (N)'!E99</f>
        <v>0.66</v>
      </c>
      <c r="G99" s="15">
        <f>'Target D (T)'!E99</f>
        <v>0.378</v>
      </c>
      <c r="H99" s="15">
        <f>'Giant (T)'!E99</f>
        <v>0.39600000000000002</v>
      </c>
      <c r="I99" s="15">
        <f>'Sams Club (N)'!E99</f>
        <v>0.18368000000000001</v>
      </c>
      <c r="J99" s="15">
        <f>'Target Up (N)'!E99</f>
        <v>0.47249999999999998</v>
      </c>
      <c r="K99" s="15">
        <f>'Aldi (L)'!E99</f>
        <v>0.32777777777777778</v>
      </c>
      <c r="L99" s="15">
        <f>'Walmart (L)'!E99</f>
        <v>0.36799999999999999</v>
      </c>
    </row>
    <row r="100" spans="1:17" x14ac:dyDescent="0.4">
      <c r="A100" t="s">
        <v>162</v>
      </c>
      <c r="B100">
        <v>2</v>
      </c>
      <c r="C100" s="15">
        <f>'Wegmans (F)'!E100</f>
        <v>0</v>
      </c>
      <c r="D100" s="15">
        <f>'Trader Joes (F)'!E100</f>
        <v>1.99</v>
      </c>
      <c r="E100" s="15">
        <f>'Mclanahans (N)'!E100</f>
        <v>3.98</v>
      </c>
      <c r="F100" s="15">
        <f>'Weis (N)'!E100</f>
        <v>1.99</v>
      </c>
      <c r="G100" s="15">
        <f>'Target D (T)'!E100</f>
        <v>1.38</v>
      </c>
      <c r="H100" s="15">
        <f>'Giant (T)'!E100</f>
        <v>3</v>
      </c>
      <c r="I100" s="15">
        <f>'Sams Club (N)'!E100</f>
        <v>1.4880000000000002</v>
      </c>
      <c r="J100" s="15">
        <f>'Target Up (N)'!E100</f>
        <v>1.18</v>
      </c>
      <c r="K100" s="15">
        <f>'Aldi (L)'!E100</f>
        <v>1.3</v>
      </c>
      <c r="L100" s="15">
        <f>'Walmart (L)'!E100</f>
        <v>1.1000000000000001</v>
      </c>
    </row>
    <row r="101" spans="1:17" x14ac:dyDescent="0.4">
      <c r="A101" t="s">
        <v>163</v>
      </c>
      <c r="B101" t="s">
        <v>17</v>
      </c>
      <c r="C101" s="15">
        <f>'Wegmans (F)'!E101</f>
        <v>0</v>
      </c>
      <c r="D101" s="15">
        <f>'Trader Joes (F)'!E101</f>
        <v>2.86</v>
      </c>
      <c r="E101" s="15">
        <f>'Mclanahans (N)'!E101</f>
        <v>2.68</v>
      </c>
      <c r="F101" s="15">
        <f>'Weis (N)'!E101</f>
        <v>1.2</v>
      </c>
      <c r="G101" s="15">
        <f>'Target D (T)'!E101</f>
        <v>1.137142857142857</v>
      </c>
      <c r="H101" s="15">
        <f>'Giant (T)'!E101</f>
        <v>0.4975</v>
      </c>
      <c r="I101" s="15">
        <f>'Sams Club (N)'!E101</f>
        <v>0.77</v>
      </c>
      <c r="J101" s="15">
        <f>'Target Up (N)'!E101</f>
        <v>0.995</v>
      </c>
      <c r="K101" s="15">
        <f>'Aldi (L)'!E101</f>
        <v>1.03</v>
      </c>
      <c r="L101" s="15">
        <f>'Walmart (L)'!E101</f>
        <v>0.98499999999999999</v>
      </c>
    </row>
    <row r="102" spans="1:17" x14ac:dyDescent="0.4">
      <c r="A102" t="s">
        <v>158</v>
      </c>
      <c r="B102">
        <v>2</v>
      </c>
      <c r="C102" s="15">
        <f>'Wegmans (F)'!E102</f>
        <v>0</v>
      </c>
      <c r="D102" s="15">
        <f>'Trader Joes (F)'!E102</f>
        <v>1</v>
      </c>
      <c r="E102" s="15">
        <f>'Mclanahans (N)'!E102</f>
        <v>0.61</v>
      </c>
      <c r="F102" s="15">
        <f>'Weis (N)'!E102</f>
        <v>0.33</v>
      </c>
      <c r="G102" s="15">
        <f>'Target D (T)'!E102</f>
        <v>0.33166666666666667</v>
      </c>
      <c r="H102" s="15">
        <f>'Giant (T)'!E102</f>
        <v>0.33166666666666667</v>
      </c>
      <c r="I102" s="15">
        <f>'Sams Club (N)'!E102</f>
        <v>0.36833333333333335</v>
      </c>
      <c r="J102" s="15">
        <f>'Target Up (N)'!E102</f>
        <v>0.49833333333333335</v>
      </c>
      <c r="K102" s="15">
        <f>'Aldi (L)'!E102</f>
        <v>0.36499999999999999</v>
      </c>
      <c r="L102" s="15">
        <f>'Walmart (L)'!E102</f>
        <v>0.37666666666666665</v>
      </c>
    </row>
    <row r="103" spans="1:17" x14ac:dyDescent="0.4">
      <c r="A103" t="s">
        <v>164</v>
      </c>
      <c r="B103">
        <v>4</v>
      </c>
      <c r="C103" s="15">
        <f>'Wegmans (F)'!E103</f>
        <v>0</v>
      </c>
      <c r="D103" s="15">
        <f>'Trader Joes (F)'!E103</f>
        <v>0.99</v>
      </c>
      <c r="E103" s="15">
        <f>'Mclanahans (N)'!E103</f>
        <v>1.75</v>
      </c>
      <c r="F103" s="15">
        <f>'Weis (N)'!E103</f>
        <v>1.35</v>
      </c>
      <c r="G103" s="15">
        <f>'Target D (T)'!E103</f>
        <v>0.995</v>
      </c>
      <c r="H103" s="15">
        <f>'Giant (T)'!E103</f>
        <v>1.4950000000000001</v>
      </c>
      <c r="I103" s="15">
        <f>'Sams Club (N)'!E103</f>
        <v>0.61166666666666658</v>
      </c>
      <c r="J103" s="15">
        <f>'Target Up (N)'!E103</f>
        <v>2.3450000000000002</v>
      </c>
      <c r="K103" s="15">
        <f>'Aldi (L)'!E103</f>
        <v>1.175</v>
      </c>
      <c r="L103" s="15">
        <f>'Walmart (L)'!E103</f>
        <v>1.06</v>
      </c>
    </row>
    <row r="104" spans="1:17" x14ac:dyDescent="0.4">
      <c r="A104" t="s">
        <v>147</v>
      </c>
      <c r="B104" t="s">
        <v>22</v>
      </c>
      <c r="C104" s="15">
        <f>'Wegmans (F)'!E104</f>
        <v>0</v>
      </c>
      <c r="D104" s="15">
        <f>'Trader Joes (F)'!E104</f>
        <v>0.3</v>
      </c>
      <c r="F104" s="15">
        <f>'Weis (N)'!E104</f>
        <v>0.7</v>
      </c>
      <c r="G104" s="15">
        <f>'Target D (T)'!E104</f>
        <v>0.38727272727272727</v>
      </c>
      <c r="H104" s="15">
        <f>'Giant (T)'!E104</f>
        <v>0.42363636363636364</v>
      </c>
      <c r="I104" s="15">
        <f>'Sams Club (N)'!E104</f>
        <v>0.19201183431952665</v>
      </c>
      <c r="J104" s="15">
        <f>'Target Up (N)'!E104</f>
        <v>0.37810650887573966</v>
      </c>
      <c r="K104" s="15">
        <f>'Aldi (L)'!E104</f>
        <v>0.36764705882352938</v>
      </c>
      <c r="L104" s="15">
        <f>'Walmart (L)'!E104</f>
        <v>0.34941176470588237</v>
      </c>
    </row>
    <row r="105" spans="1:17" x14ac:dyDescent="0.4">
      <c r="A105" s="1" t="s">
        <v>34</v>
      </c>
      <c r="C105" s="15">
        <f>'Wegmans (F)'!E105</f>
        <v>0</v>
      </c>
      <c r="D105" s="15">
        <f>'Trader Joes (F)'!E105</f>
        <v>11.06</v>
      </c>
      <c r="E105" s="15">
        <f>'Mclanahans (N)'!E104</f>
        <v>0.52</v>
      </c>
      <c r="F105" s="15">
        <f>'Weis (N)'!E105</f>
        <v>9.879999999999999</v>
      </c>
      <c r="G105" s="15">
        <f>'Target D (T)'!E105</f>
        <v>7.7040822510822515</v>
      </c>
      <c r="H105" s="15">
        <f>'Giant (T)'!E105</f>
        <v>9.5888030303030298</v>
      </c>
      <c r="I105" s="15">
        <f>'Sams Club (N)'!E105</f>
        <v>6.5936918343195261</v>
      </c>
      <c r="J105" s="15">
        <f>'Target Up (N)'!E105</f>
        <v>9.8639398422090743</v>
      </c>
      <c r="K105" s="15">
        <f>'Aldi (L)'!E105</f>
        <v>8.0404248366013071</v>
      </c>
      <c r="L105" s="15">
        <f>'Walmart (L)'!E105</f>
        <v>7.3690784313725501</v>
      </c>
    </row>
    <row r="106" spans="1:17" x14ac:dyDescent="0.4">
      <c r="A106" s="11" t="s">
        <v>71</v>
      </c>
    </row>
    <row r="108" spans="1:17" x14ac:dyDescent="0.4">
      <c r="A108" s="29" t="s">
        <v>165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30"/>
      <c r="Q108" s="17">
        <v>1</v>
      </c>
    </row>
    <row r="109" spans="1:17" x14ac:dyDescent="0.4">
      <c r="A109" t="s">
        <v>166</v>
      </c>
      <c r="B109" t="s">
        <v>167</v>
      </c>
      <c r="C109" s="15">
        <f>'Wegmans (F)'!E109</f>
        <v>0</v>
      </c>
      <c r="D109" s="15">
        <f>'Trader Joes (F)'!E109</f>
        <v>0.57999999999999996</v>
      </c>
      <c r="E109" s="15">
        <f>'Mclanahans (N)'!E109</f>
        <v>0.41</v>
      </c>
      <c r="F109" s="15">
        <f>'Weis (N)'!E109</f>
        <v>0.6</v>
      </c>
      <c r="G109" s="15">
        <f>'Target D (T)'!E109</f>
        <v>0.56999999999999995</v>
      </c>
      <c r="H109" s="15">
        <f>'Giant (T)'!E109</f>
        <v>1.4257142857142857</v>
      </c>
      <c r="I109" s="15">
        <f>'Sams Club (N)'!E109</f>
        <v>0.16399999999999998</v>
      </c>
      <c r="J109" s="15">
        <f>'Target Up (N)'!E109</f>
        <v>0.41900000000000004</v>
      </c>
      <c r="K109" s="15">
        <f>'Aldi (L)'!E109</f>
        <v>0.60833333333333328</v>
      </c>
      <c r="L109" s="15">
        <f>'Walmart (L)'!E109</f>
        <v>0.35666666666666669</v>
      </c>
    </row>
    <row r="110" spans="1:17" x14ac:dyDescent="0.4">
      <c r="A110" t="s">
        <v>168</v>
      </c>
      <c r="B110" t="s">
        <v>169</v>
      </c>
      <c r="C110" s="15">
        <f>'Wegmans (F)'!E110</f>
        <v>0</v>
      </c>
      <c r="D110" s="15">
        <f>'Trader Joes (F)'!E110</f>
        <v>0</v>
      </c>
      <c r="E110" s="15">
        <f>'Mclanahans (N)'!E110</f>
        <v>0.37</v>
      </c>
      <c r="F110" s="15">
        <f>'Weis (N)'!E110</f>
        <v>0.21</v>
      </c>
      <c r="G110" s="15">
        <f>'Target D (T)'!E110</f>
        <v>0.14083333333333331</v>
      </c>
      <c r="H110" s="15">
        <f>'Giant (T)'!E110</f>
        <v>0.39800000000000002</v>
      </c>
      <c r="I110" s="15">
        <f>'Sams Club (N)'!E110</f>
        <v>0.18166666666666667</v>
      </c>
      <c r="J110" s="15">
        <f>'Target Up (N)'!E110</f>
        <v>0.14083333333333334</v>
      </c>
      <c r="K110" s="15">
        <f>'Aldi (L)'!E110</f>
        <v>0.15</v>
      </c>
      <c r="L110" s="15">
        <f>'Walmart (L)'!E110</f>
        <v>0.11749999999999999</v>
      </c>
    </row>
    <row r="111" spans="1:17" x14ac:dyDescent="0.4">
      <c r="A111" t="s">
        <v>170</v>
      </c>
      <c r="B111" t="s">
        <v>68</v>
      </c>
      <c r="C111" s="15">
        <f>'Wegmans (F)'!E111</f>
        <v>0</v>
      </c>
      <c r="D111" s="15">
        <f>'Trader Joes (F)'!E111</f>
        <v>0.05</v>
      </c>
      <c r="E111" s="15">
        <f>'Mclanahans (N)'!E111</f>
        <v>0.1</v>
      </c>
      <c r="F111" s="15">
        <f>'Weis (N)'!E111</f>
        <v>0.03</v>
      </c>
      <c r="G111" s="15">
        <f>'Target D (T)'!E111</f>
        <v>9.0606060606060621E-2</v>
      </c>
      <c r="H111" s="15">
        <f>'Giant (T)'!E111</f>
        <v>7.2711864406779667E-2</v>
      </c>
      <c r="I111" s="15">
        <f>'Sams Club (N)'!E111</f>
        <v>4.1555555555555561E-2</v>
      </c>
      <c r="J111" s="15">
        <f>'Target Up (N)'!E111</f>
        <v>4.766666666666667E-2</v>
      </c>
      <c r="K111" s="15">
        <f>'Aldi (L)'!E111</f>
        <v>1.8277777777777778E-2</v>
      </c>
      <c r="L111" s="15">
        <f>'Walmart (L)'!E111</f>
        <v>3.5333333333333335E-2</v>
      </c>
    </row>
    <row r="112" spans="1:17" x14ac:dyDescent="0.4">
      <c r="A112" t="s">
        <v>171</v>
      </c>
      <c r="B112" t="s">
        <v>172</v>
      </c>
      <c r="C112" s="15">
        <f>'Wegmans (F)'!E112</f>
        <v>0</v>
      </c>
      <c r="D112" s="15">
        <f>'Trader Joes (F)'!E112</f>
        <v>0.01</v>
      </c>
      <c r="E112" s="15">
        <f>'Mclanahans (N)'!E112</f>
        <v>0.06</v>
      </c>
      <c r="F112" s="15">
        <f>'Weis (N)'!E112</f>
        <v>0.03</v>
      </c>
      <c r="G112" s="15">
        <f>'Target D (T)'!E112</f>
        <v>2.6323529411764707E-2</v>
      </c>
      <c r="H112" s="15">
        <f>'Giant (T)'!E112</f>
        <v>2.3382352941176472E-2</v>
      </c>
      <c r="I112" s="15">
        <f>'Sams Club (N)'!E112</f>
        <v>3.0444444444444448E-2</v>
      </c>
      <c r="J112" s="15">
        <f>'Target Up (N)'!E112</f>
        <v>2.7638888888888886E-2</v>
      </c>
      <c r="K112" s="15">
        <f>'Aldi (L)'!E112</f>
        <v>2.2916666666666665E-2</v>
      </c>
      <c r="L112" s="15">
        <f>'Walmart (L)'!E112</f>
        <v>2.3823529411764709E-2</v>
      </c>
    </row>
    <row r="113" spans="1:12" x14ac:dyDescent="0.4">
      <c r="A113" t="s">
        <v>162</v>
      </c>
      <c r="B113" s="8" t="s">
        <v>173</v>
      </c>
      <c r="C113" s="15">
        <f>'Wegmans (F)'!E113</f>
        <v>0</v>
      </c>
      <c r="D113" s="15">
        <f>'Trader Joes (F)'!E113</f>
        <v>0.5</v>
      </c>
      <c r="E113" s="15">
        <f>'Mclanahans (N)'!E113</f>
        <v>0.99</v>
      </c>
      <c r="F113" s="15">
        <f>'Weis (N)'!E113</f>
        <v>0.99</v>
      </c>
      <c r="G113" s="15">
        <f>'Target D (T)'!E113</f>
        <v>0.34499999999999997</v>
      </c>
      <c r="H113" s="15">
        <f>'Giant (T)'!E113</f>
        <v>0.75</v>
      </c>
      <c r="I113" s="15">
        <f>'Sams Club (N)'!E113</f>
        <v>0.37200000000000005</v>
      </c>
      <c r="J113" s="15">
        <f>'Target Up (N)'!E113</f>
        <v>0.29499999999999998</v>
      </c>
      <c r="K113" s="15">
        <f>'Aldi (L)'!E113</f>
        <v>0.32500000000000001</v>
      </c>
      <c r="L113" s="15">
        <f>'Walmart (L)'!E113</f>
        <v>0.27500000000000002</v>
      </c>
    </row>
    <row r="114" spans="1:12" x14ac:dyDescent="0.4">
      <c r="A114" t="s">
        <v>174</v>
      </c>
      <c r="B114" t="s">
        <v>175</v>
      </c>
      <c r="C114" s="15">
        <f>'Wegmans (F)'!E114</f>
        <v>0</v>
      </c>
      <c r="D114" s="15">
        <f>'Trader Joes (F)'!E114</f>
        <v>1</v>
      </c>
      <c r="E114" s="15">
        <f>'Mclanahans (N)'!E114</f>
        <v>0.38</v>
      </c>
      <c r="F114" s="15">
        <f>'Weis (N)'!E114</f>
        <v>0.45</v>
      </c>
      <c r="G114" s="15">
        <f>'Target D (T)'!E114</f>
        <v>0.51285714285714279</v>
      </c>
      <c r="H114" s="15">
        <f>'Giant (T)'!E114</f>
        <v>0.49857142857142855</v>
      </c>
      <c r="I114" s="15">
        <f>'Sams Club (N)'!E114</f>
        <v>0.32285714285714279</v>
      </c>
      <c r="J114" s="15">
        <f>'Target Up (N)'!E114</f>
        <v>0.59800000000000009</v>
      </c>
      <c r="K114" s="15">
        <f>'Aldi (L)'!E114</f>
        <v>0.54833333333333334</v>
      </c>
      <c r="L114" s="15">
        <f>'Walmart (L)'!E114</f>
        <v>0.66799999999999993</v>
      </c>
    </row>
    <row r="115" spans="1:12" x14ac:dyDescent="0.4">
      <c r="A115" t="s">
        <v>176</v>
      </c>
      <c r="B115" t="s">
        <v>167</v>
      </c>
      <c r="C115" s="15">
        <f>'Wegmans (F)'!E115</f>
        <v>0</v>
      </c>
      <c r="D115" s="15">
        <f>'Trader Joes (F)'!E115</f>
        <v>0</v>
      </c>
      <c r="E115" s="15">
        <f>'Mclanahans (N)'!E115</f>
        <v>0.26</v>
      </c>
      <c r="F115" s="15">
        <f>'Weis (N)'!E115</f>
        <v>0.3</v>
      </c>
      <c r="G115" s="15">
        <f>'Target D (T)'!E115</f>
        <v>0.48625000000000002</v>
      </c>
      <c r="H115" s="15">
        <f>'Giant (T)'!E115</f>
        <v>0.46666666666666662</v>
      </c>
      <c r="I115" s="15">
        <f>'Sams Club (N)'!E115</f>
        <v>0.32133333333333336</v>
      </c>
      <c r="J115" s="15">
        <f>'Target Up (N)'!E115</f>
        <v>0.39874999999999999</v>
      </c>
      <c r="K115" s="15">
        <f>'Aldi (L)'!E115</f>
        <v>7.2599999999999998E-2</v>
      </c>
      <c r="L115" s="15">
        <f>'Walmart (L)'!E115</f>
        <v>7.5900000000000009E-2</v>
      </c>
    </row>
    <row r="116" spans="1:12" x14ac:dyDescent="0.4">
      <c r="A116" t="s">
        <v>177</v>
      </c>
      <c r="B116" t="s">
        <v>173</v>
      </c>
      <c r="C116" s="15">
        <f>'Wegmans (F)'!E116</f>
        <v>0</v>
      </c>
      <c r="D116" s="15">
        <f>'Trader Joes (F)'!E116</f>
        <v>0</v>
      </c>
      <c r="E116" s="15">
        <f>'Mclanahans (N)'!E116</f>
        <v>0.42</v>
      </c>
      <c r="F116" s="15">
        <f>'Weis (N)'!E116</f>
        <v>0.45</v>
      </c>
      <c r="G116" s="15">
        <f>'Target D (T)'!E116</f>
        <v>0.42249999999999999</v>
      </c>
      <c r="H116" s="15">
        <f>'Giant (T)'!E116</f>
        <v>0.34499999999999997</v>
      </c>
      <c r="I116" s="15">
        <f>'Sams Club (N)'!E116</f>
        <v>0.67833333333333334</v>
      </c>
      <c r="J116" s="15">
        <f>'Target Up (N)'!E116</f>
        <v>0.495</v>
      </c>
      <c r="K116" s="15">
        <f>'Aldi (L)'!E116</f>
        <v>0.39500000000000002</v>
      </c>
      <c r="L116" s="15">
        <f>'Walmart (L)'!E116</f>
        <v>0.34</v>
      </c>
    </row>
    <row r="117" spans="1:12" x14ac:dyDescent="0.4">
      <c r="A117" t="s">
        <v>178</v>
      </c>
      <c r="B117" t="s">
        <v>179</v>
      </c>
      <c r="C117" s="15">
        <f>'Wegmans (F)'!E117</f>
        <v>0</v>
      </c>
      <c r="D117" s="15">
        <f>'Trader Joes (F)'!E117</f>
        <v>0</v>
      </c>
      <c r="E117" s="15">
        <f>'Mclanahans (N)'!E117</f>
        <v>0.49</v>
      </c>
      <c r="F117" s="15">
        <f>'Weis (N)'!E117</f>
        <v>0.2</v>
      </c>
      <c r="G117" s="15">
        <f>'Target D (T)'!E117</f>
        <v>0.2475</v>
      </c>
      <c r="H117" s="15">
        <f>'Giant (T)'!E117</f>
        <v>0.4</v>
      </c>
      <c r="I117" s="15">
        <f>'Sams Club (N)'!E117</f>
        <v>0.47666666666666663</v>
      </c>
      <c r="J117" s="15">
        <f>'Target Up (N)'!E117</f>
        <v>0.2225</v>
      </c>
      <c r="K117" s="15">
        <f>'Aldi (L)'!E117</f>
        <v>0.20416666666666666</v>
      </c>
      <c r="L117" s="15">
        <f>'Walmart (L)'!E117</f>
        <v>0.2475</v>
      </c>
    </row>
    <row r="118" spans="1:12" x14ac:dyDescent="0.4">
      <c r="A118" t="s">
        <v>180</v>
      </c>
      <c r="B118" t="s">
        <v>38</v>
      </c>
      <c r="C118" s="15">
        <f>'Wegmans (F)'!E118</f>
        <v>0</v>
      </c>
      <c r="D118" s="15">
        <f>'Trader Joes (F)'!E118</f>
        <v>0</v>
      </c>
      <c r="E118" s="15" t="str">
        <f>'Mclanahans (N)'!E118</f>
        <v>NA</v>
      </c>
      <c r="F118" s="15">
        <f>'Weis (N)'!E118</f>
        <v>0.28999999999999998</v>
      </c>
      <c r="G118" s="15" t="str">
        <f>'Target D (T)'!E118</f>
        <v>NA</v>
      </c>
      <c r="H118" s="15">
        <f>'Giant (T)'!E118</f>
        <v>0.24928571428571428</v>
      </c>
      <c r="I118" s="15">
        <f>'Sams Club (N)'!E118</f>
        <v>0.49500000000000005</v>
      </c>
      <c r="J118" s="15" t="str">
        <f>'Target Up (N)'!E118</f>
        <v>N/A</v>
      </c>
      <c r="K118" s="15" t="str">
        <f>'Aldi (L)'!E118</f>
        <v>NA</v>
      </c>
      <c r="L118" s="15" t="str">
        <f>'Walmart (L)'!E118</f>
        <v>NA</v>
      </c>
    </row>
    <row r="119" spans="1:12" x14ac:dyDescent="0.4">
      <c r="A119" t="s">
        <v>181</v>
      </c>
      <c r="B119" t="s">
        <v>182</v>
      </c>
      <c r="C119" s="15">
        <f>'Wegmans (F)'!E119</f>
        <v>0</v>
      </c>
      <c r="D119" s="15">
        <f>'Trader Joes (F)'!E119</f>
        <v>0.01</v>
      </c>
      <c r="E119" s="15">
        <f>'Mclanahans (N)'!E119</f>
        <v>0.1</v>
      </c>
      <c r="F119" s="15">
        <f>'Weis (N)'!E119</f>
        <v>0.1</v>
      </c>
      <c r="G119" s="15">
        <f>'Target D (T)'!E119</f>
        <v>5.6056338028169013E-2</v>
      </c>
      <c r="H119" s="15">
        <f>'Giant (T)'!E119</f>
        <v>5.6056338028169013E-2</v>
      </c>
      <c r="I119" s="15">
        <f>'Sams Club (N)'!E119</f>
        <v>7.7499999999999999E-2</v>
      </c>
      <c r="J119" s="15">
        <f>'Target Up (N)'!E119</f>
        <v>0.14599999999999999</v>
      </c>
      <c r="K119" s="15">
        <f>'Aldi (L)'!E119</f>
        <v>9.6910569105691055E-2</v>
      </c>
      <c r="L119" s="15">
        <f>'Walmart (L)'!E119</f>
        <v>0.01</v>
      </c>
    </row>
    <row r="120" spans="1:12" x14ac:dyDescent="0.4">
      <c r="A120" s="1" t="s">
        <v>34</v>
      </c>
      <c r="C120" s="15">
        <f>'Wegmans (F)'!E121</f>
        <v>0</v>
      </c>
      <c r="D120" s="15">
        <f>'Trader Joes (F)'!E121</f>
        <v>0</v>
      </c>
      <c r="E120" s="15">
        <f>'Mclanahans (N)'!E121</f>
        <v>0</v>
      </c>
      <c r="F120" s="15">
        <f>'Weis (N)'!E120</f>
        <v>3.6500000000000004</v>
      </c>
      <c r="G120" s="15">
        <f>'Target D (T)'!E120</f>
        <v>2.8979264042364701</v>
      </c>
      <c r="H120" s="15">
        <f>'Giant (T)'!E120</f>
        <v>4.6853886506142217</v>
      </c>
      <c r="I120" s="15">
        <f>'Sams Club (N)'!E120</f>
        <v>3.1613571428571428</v>
      </c>
      <c r="J120" s="15">
        <f>'Target Up (N)'!E120</f>
        <v>2.7903888888888888</v>
      </c>
      <c r="K120" s="15">
        <f>'Aldi (L)'!E120</f>
        <v>2.4415383468834686</v>
      </c>
      <c r="L120" s="15">
        <f>'Walmart (L)'!E120</f>
        <v>2.1497235294117645</v>
      </c>
    </row>
    <row r="121" spans="1:12" x14ac:dyDescent="0.4">
      <c r="A121" s="11" t="s">
        <v>71</v>
      </c>
    </row>
  </sheetData>
  <mergeCells count="10">
    <mergeCell ref="A3:P3"/>
    <mergeCell ref="A24:P24"/>
    <mergeCell ref="A35:P35"/>
    <mergeCell ref="A49:P49"/>
    <mergeCell ref="A14:P14"/>
    <mergeCell ref="A61:P61"/>
    <mergeCell ref="A70:P70"/>
    <mergeCell ref="A86:P86"/>
    <mergeCell ref="A97:P97"/>
    <mergeCell ref="A108:P10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50F8-FD0A-4F33-867E-A67D9718B7A0}">
  <dimension ref="A1:Q122"/>
  <sheetViews>
    <sheetView topLeftCell="A27" workbookViewId="0">
      <selection activeCell="C28" sqref="C28"/>
    </sheetView>
  </sheetViews>
  <sheetFormatPr defaultRowHeight="14.6" x14ac:dyDescent="0.4"/>
  <sheetData>
    <row r="1" spans="1:17" x14ac:dyDescent="0.4">
      <c r="A1" s="6" t="s">
        <v>0</v>
      </c>
      <c r="B1" s="7" t="s">
        <v>195</v>
      </c>
      <c r="C1" s="16" t="s">
        <v>196</v>
      </c>
      <c r="D1" s="6" t="s">
        <v>197</v>
      </c>
      <c r="E1" s="16" t="s">
        <v>198</v>
      </c>
      <c r="F1" s="6" t="s">
        <v>8</v>
      </c>
      <c r="G1" s="6"/>
      <c r="H1" s="6"/>
      <c r="I1" s="6"/>
      <c r="J1" s="6"/>
      <c r="K1" s="6"/>
      <c r="L1" s="6"/>
      <c r="M1" s="6"/>
      <c r="N1" s="6"/>
      <c r="O1" s="6"/>
      <c r="P1" s="1"/>
      <c r="Q1" s="1"/>
    </row>
    <row r="2" spans="1:17" x14ac:dyDescent="0.4">
      <c r="A2" s="1"/>
      <c r="C2" s="15"/>
      <c r="E2" s="15"/>
    </row>
    <row r="3" spans="1:17" x14ac:dyDescent="0.4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7">
        <v>6</v>
      </c>
    </row>
    <row r="4" spans="1:17" x14ac:dyDescent="0.4">
      <c r="A4" t="s">
        <v>11</v>
      </c>
      <c r="B4" t="s">
        <v>12</v>
      </c>
      <c r="C4" s="15">
        <v>3.29</v>
      </c>
      <c r="D4" t="s">
        <v>199</v>
      </c>
      <c r="E4" s="15">
        <v>3.29</v>
      </c>
      <c r="F4" s="14" t="s">
        <v>200</v>
      </c>
    </row>
    <row r="5" spans="1:17" x14ac:dyDescent="0.4">
      <c r="A5" t="s">
        <v>15</v>
      </c>
      <c r="B5" t="s">
        <v>16</v>
      </c>
      <c r="C5" s="15">
        <v>6.49</v>
      </c>
      <c r="D5" t="s">
        <v>201</v>
      </c>
      <c r="E5" s="15">
        <v>6.49</v>
      </c>
      <c r="F5" s="14" t="s">
        <v>202</v>
      </c>
    </row>
    <row r="6" spans="1:17" x14ac:dyDescent="0.4">
      <c r="A6" t="s">
        <v>203</v>
      </c>
      <c r="B6" t="s">
        <v>204</v>
      </c>
      <c r="C6" s="15">
        <v>4.99</v>
      </c>
      <c r="D6" t="s">
        <v>205</v>
      </c>
      <c r="E6" s="15">
        <v>4.99</v>
      </c>
      <c r="F6" s="14" t="s">
        <v>206</v>
      </c>
    </row>
    <row r="7" spans="1:17" x14ac:dyDescent="0.4">
      <c r="A7" t="s">
        <v>21</v>
      </c>
      <c r="B7" t="s">
        <v>22</v>
      </c>
      <c r="C7" s="15">
        <v>9.7899999999999991</v>
      </c>
      <c r="D7" t="s">
        <v>207</v>
      </c>
      <c r="E7" s="15">
        <v>0.28999999999999998</v>
      </c>
      <c r="F7" s="14" t="s">
        <v>208</v>
      </c>
    </row>
    <row r="8" spans="1:17" x14ac:dyDescent="0.4">
      <c r="A8" t="s">
        <v>26</v>
      </c>
      <c r="B8" t="s">
        <v>27</v>
      </c>
      <c r="C8" s="15">
        <v>2.4900000000000002</v>
      </c>
      <c r="D8" t="s">
        <v>209</v>
      </c>
      <c r="E8" s="15">
        <v>0.01</v>
      </c>
      <c r="F8" s="14" t="s">
        <v>210</v>
      </c>
    </row>
    <row r="9" spans="1:17" x14ac:dyDescent="0.4">
      <c r="A9" t="s">
        <v>30</v>
      </c>
      <c r="B9" t="s">
        <v>22</v>
      </c>
      <c r="C9" s="15">
        <v>3.49</v>
      </c>
      <c r="D9" t="s">
        <v>205</v>
      </c>
      <c r="E9" s="15">
        <v>0.44</v>
      </c>
      <c r="F9" s="14" t="s">
        <v>211</v>
      </c>
    </row>
    <row r="10" spans="1:17" x14ac:dyDescent="0.4">
      <c r="A10" t="s">
        <v>32</v>
      </c>
      <c r="B10" t="s">
        <v>33</v>
      </c>
      <c r="C10" s="15">
        <v>0.99</v>
      </c>
      <c r="D10" t="s">
        <v>212</v>
      </c>
      <c r="E10" s="15">
        <v>0.5</v>
      </c>
      <c r="F10" s="14" t="s">
        <v>213</v>
      </c>
    </row>
    <row r="11" spans="1:17" x14ac:dyDescent="0.4">
      <c r="A11" s="1" t="s">
        <v>214</v>
      </c>
      <c r="C11" s="15">
        <f>SUM(C4:C10)</f>
        <v>31.530000000000005</v>
      </c>
      <c r="E11" s="15">
        <f>SUM(E4:E10)</f>
        <v>16.009999999999998</v>
      </c>
    </row>
    <row r="12" spans="1:17" x14ac:dyDescent="0.4">
      <c r="A12" s="11" t="s">
        <v>35</v>
      </c>
      <c r="C12" s="15"/>
      <c r="E12" s="15"/>
    </row>
    <row r="13" spans="1:17" x14ac:dyDescent="0.4">
      <c r="A13" s="11"/>
      <c r="C13" s="15"/>
      <c r="E13" s="15"/>
    </row>
    <row r="14" spans="1:17" x14ac:dyDescent="0.4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17">
        <v>1</v>
      </c>
    </row>
    <row r="15" spans="1:17" x14ac:dyDescent="0.4">
      <c r="A15" t="s">
        <v>37</v>
      </c>
      <c r="B15" t="s">
        <v>38</v>
      </c>
      <c r="C15" s="15">
        <v>4.1900000000000004</v>
      </c>
      <c r="D15" t="s">
        <v>215</v>
      </c>
      <c r="E15" s="15">
        <v>7.0000000000000007E-2</v>
      </c>
      <c r="F15" s="14" t="s">
        <v>216</v>
      </c>
    </row>
    <row r="16" spans="1:17" x14ac:dyDescent="0.4">
      <c r="A16" t="s">
        <v>41</v>
      </c>
      <c r="B16" t="s">
        <v>38</v>
      </c>
      <c r="C16" s="15">
        <v>3.99</v>
      </c>
      <c r="D16" t="s">
        <v>217</v>
      </c>
      <c r="E16" s="15">
        <v>0.09</v>
      </c>
      <c r="F16" s="14" t="s">
        <v>218</v>
      </c>
    </row>
    <row r="17" spans="1:15" x14ac:dyDescent="0.4">
      <c r="A17" t="s">
        <v>43</v>
      </c>
      <c r="B17" t="s">
        <v>44</v>
      </c>
      <c r="C17" s="15">
        <v>2.5099999999999998</v>
      </c>
      <c r="D17" t="s">
        <v>219</v>
      </c>
      <c r="E17" s="15">
        <v>0.1</v>
      </c>
      <c r="F17" s="14" t="s">
        <v>220</v>
      </c>
    </row>
    <row r="18" spans="1:15" x14ac:dyDescent="0.4">
      <c r="A18" t="s">
        <v>46</v>
      </c>
      <c r="B18" t="s">
        <v>47</v>
      </c>
      <c r="C18" s="15">
        <v>9.99</v>
      </c>
      <c r="D18" t="s">
        <v>217</v>
      </c>
      <c r="E18" s="15">
        <v>0.1</v>
      </c>
      <c r="F18" s="14" t="s">
        <v>221</v>
      </c>
    </row>
    <row r="19" spans="1:15" x14ac:dyDescent="0.4">
      <c r="A19" t="s">
        <v>222</v>
      </c>
      <c r="B19" t="s">
        <v>38</v>
      </c>
      <c r="C19" s="15">
        <v>3.99</v>
      </c>
      <c r="D19" t="s">
        <v>223</v>
      </c>
      <c r="E19" s="15">
        <v>0.5</v>
      </c>
      <c r="F19" s="14" t="s">
        <v>224</v>
      </c>
    </row>
    <row r="20" spans="1:15" x14ac:dyDescent="0.4">
      <c r="A20" t="s">
        <v>50</v>
      </c>
      <c r="B20" t="s">
        <v>47</v>
      </c>
      <c r="C20" s="15">
        <v>4.79</v>
      </c>
      <c r="D20" t="s">
        <v>223</v>
      </c>
      <c r="E20" s="15">
        <v>10</v>
      </c>
      <c r="F20" s="14" t="s">
        <v>225</v>
      </c>
    </row>
    <row r="21" spans="1:15" x14ac:dyDescent="0.4">
      <c r="A21" s="1" t="s">
        <v>214</v>
      </c>
      <c r="C21" s="15">
        <f>SUM(C15:C20)</f>
        <v>29.46</v>
      </c>
      <c r="E21" s="15">
        <f>SUM(E15:E20)</f>
        <v>10.86</v>
      </c>
    </row>
    <row r="22" spans="1:15" x14ac:dyDescent="0.4">
      <c r="A22" s="12" t="s">
        <v>52</v>
      </c>
      <c r="C22" s="15"/>
      <c r="E22" s="15"/>
    </row>
    <row r="23" spans="1:15" x14ac:dyDescent="0.4">
      <c r="A23" s="10"/>
      <c r="C23" s="15"/>
      <c r="E23" s="15"/>
    </row>
    <row r="24" spans="1:15" x14ac:dyDescent="0.4">
      <c r="A24" s="29" t="s">
        <v>53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17">
        <v>4</v>
      </c>
    </row>
    <row r="25" spans="1:15" x14ac:dyDescent="0.4">
      <c r="A25" t="s">
        <v>54</v>
      </c>
      <c r="B25">
        <v>8</v>
      </c>
      <c r="C25" s="15">
        <v>2.4900000000000002</v>
      </c>
      <c r="D25">
        <v>8</v>
      </c>
      <c r="E25" s="15">
        <v>2.4900000000000002</v>
      </c>
      <c r="F25" s="14" t="s">
        <v>226</v>
      </c>
    </row>
    <row r="26" spans="1:15" x14ac:dyDescent="0.4">
      <c r="A26" t="s">
        <v>56</v>
      </c>
      <c r="B26" t="s">
        <v>57</v>
      </c>
      <c r="C26" s="15">
        <v>4.99</v>
      </c>
      <c r="D26" t="s">
        <v>223</v>
      </c>
      <c r="E26" s="15">
        <v>0.16</v>
      </c>
      <c r="F26" s="14" t="s">
        <v>227</v>
      </c>
    </row>
    <row r="27" spans="1:15" x14ac:dyDescent="0.4">
      <c r="A27" s="3" t="s">
        <v>60</v>
      </c>
      <c r="B27" t="s">
        <v>61</v>
      </c>
      <c r="C27" s="15">
        <v>9.65</v>
      </c>
      <c r="D27" t="s">
        <v>228</v>
      </c>
      <c r="E27" s="15">
        <v>6.43</v>
      </c>
      <c r="F27" s="14"/>
    </row>
    <row r="28" spans="1:15" x14ac:dyDescent="0.4">
      <c r="A28" t="s">
        <v>63</v>
      </c>
      <c r="B28" t="s">
        <v>64</v>
      </c>
      <c r="C28" s="15"/>
      <c r="E28" s="15"/>
      <c r="F28" s="14"/>
    </row>
    <row r="29" spans="1:15" x14ac:dyDescent="0.4">
      <c r="A29" t="s">
        <v>66</v>
      </c>
      <c r="B29" t="s">
        <v>12</v>
      </c>
      <c r="C29" s="15"/>
      <c r="E29" s="15"/>
      <c r="F29" s="14"/>
    </row>
    <row r="30" spans="1:15" x14ac:dyDescent="0.4">
      <c r="A30" t="s">
        <v>26</v>
      </c>
      <c r="B30" t="s">
        <v>68</v>
      </c>
      <c r="C30" s="15"/>
      <c r="E30" s="15"/>
      <c r="F30" t="s">
        <v>69</v>
      </c>
    </row>
    <row r="31" spans="1:15" x14ac:dyDescent="0.4">
      <c r="A31" t="s">
        <v>70</v>
      </c>
      <c r="B31" t="s">
        <v>229</v>
      </c>
      <c r="C31" s="15"/>
      <c r="E31" s="15"/>
      <c r="F31" t="s">
        <v>69</v>
      </c>
    </row>
    <row r="32" spans="1:15" x14ac:dyDescent="0.4">
      <c r="A32" s="1" t="s">
        <v>214</v>
      </c>
      <c r="C32" s="15">
        <f>SUM(C25:C31)</f>
        <v>17.130000000000003</v>
      </c>
      <c r="E32" s="15">
        <f>SUM(E25:E31)</f>
        <v>9.08</v>
      </c>
    </row>
    <row r="33" spans="1:15" x14ac:dyDescent="0.4">
      <c r="A33" s="11" t="s">
        <v>71</v>
      </c>
      <c r="C33" s="15"/>
      <c r="E33" s="15"/>
    </row>
    <row r="34" spans="1:15" x14ac:dyDescent="0.4">
      <c r="A34" s="1"/>
      <c r="C34" s="15"/>
      <c r="E34" s="15"/>
    </row>
    <row r="35" spans="1:15" x14ac:dyDescent="0.4">
      <c r="A35" s="29" t="s">
        <v>72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17">
        <v>6</v>
      </c>
    </row>
    <row r="36" spans="1:15" x14ac:dyDescent="0.4">
      <c r="A36" s="3" t="s">
        <v>73</v>
      </c>
      <c r="B36" t="s">
        <v>74</v>
      </c>
      <c r="C36" s="19"/>
      <c r="D36" s="20"/>
      <c r="E36" s="19"/>
      <c r="F36" s="14"/>
      <c r="G36" s="2"/>
      <c r="H36" s="2"/>
      <c r="I36" s="2"/>
      <c r="J36" s="2"/>
      <c r="K36" s="2"/>
      <c r="L36" s="2"/>
      <c r="M36" s="2"/>
      <c r="N36" s="2"/>
    </row>
    <row r="37" spans="1:15" x14ac:dyDescent="0.4">
      <c r="A37" s="3" t="s">
        <v>76</v>
      </c>
      <c r="B37" s="18">
        <v>1</v>
      </c>
      <c r="C37" s="19"/>
      <c r="D37" s="20"/>
      <c r="E37" s="19"/>
      <c r="F37" s="14"/>
      <c r="G37" s="19"/>
      <c r="H37" s="14"/>
      <c r="I37" s="2"/>
      <c r="J37" s="2"/>
      <c r="K37" s="2"/>
      <c r="L37" s="2"/>
      <c r="M37" s="2"/>
      <c r="N37" s="2"/>
    </row>
    <row r="38" spans="1:15" x14ac:dyDescent="0.4">
      <c r="A38" t="s">
        <v>79</v>
      </c>
      <c r="B38" t="s">
        <v>64</v>
      </c>
      <c r="C38" s="19"/>
      <c r="D38" s="20"/>
      <c r="E38" s="19"/>
      <c r="F38" s="14"/>
      <c r="G38" s="2"/>
      <c r="H38" s="2"/>
      <c r="I38" s="2"/>
      <c r="J38" s="2"/>
      <c r="K38" s="2"/>
      <c r="L38" s="2"/>
      <c r="M38" s="2"/>
      <c r="N38" s="2"/>
    </row>
    <row r="39" spans="1:15" x14ac:dyDescent="0.4">
      <c r="A39" t="s">
        <v>82</v>
      </c>
      <c r="B39" t="s">
        <v>83</v>
      </c>
      <c r="C39" s="19"/>
      <c r="D39" s="20"/>
      <c r="E39" s="19"/>
      <c r="F39" s="14"/>
      <c r="G39" s="2"/>
      <c r="H39" s="2"/>
      <c r="I39" s="2"/>
      <c r="J39" s="2"/>
      <c r="K39" s="2"/>
      <c r="L39" s="2"/>
      <c r="M39" s="2"/>
      <c r="N39" s="2"/>
    </row>
    <row r="40" spans="1:15" x14ac:dyDescent="0.4">
      <c r="A40" t="s">
        <v>230</v>
      </c>
      <c r="B40" t="s">
        <v>64</v>
      </c>
      <c r="C40" s="15"/>
      <c r="E40" s="15"/>
      <c r="F40" s="14"/>
    </row>
    <row r="41" spans="1:15" x14ac:dyDescent="0.4">
      <c r="A41" t="s">
        <v>89</v>
      </c>
      <c r="B41" t="s">
        <v>64</v>
      </c>
      <c r="C41" s="15"/>
      <c r="E41" s="15"/>
      <c r="F41" s="14"/>
    </row>
    <row r="42" spans="1:15" x14ac:dyDescent="0.4">
      <c r="A42" t="s">
        <v>26</v>
      </c>
      <c r="B42" t="s">
        <v>91</v>
      </c>
      <c r="C42" s="15"/>
      <c r="E42" s="15"/>
      <c r="F42" t="s">
        <v>69</v>
      </c>
    </row>
    <row r="43" spans="1:15" x14ac:dyDescent="0.4">
      <c r="A43" t="s">
        <v>66</v>
      </c>
      <c r="B43" t="s">
        <v>92</v>
      </c>
      <c r="C43" s="15"/>
      <c r="E43" s="15"/>
      <c r="F43" s="14"/>
    </row>
    <row r="44" spans="1:15" x14ac:dyDescent="0.4">
      <c r="A44" t="s">
        <v>93</v>
      </c>
      <c r="B44" t="s">
        <v>94</v>
      </c>
      <c r="C44" s="15"/>
      <c r="E44" s="15"/>
      <c r="F44" s="14"/>
    </row>
    <row r="45" spans="1:15" x14ac:dyDescent="0.4">
      <c r="A45" t="s">
        <v>96</v>
      </c>
      <c r="B45" t="s">
        <v>231</v>
      </c>
      <c r="C45" s="15"/>
      <c r="E45" s="15"/>
      <c r="F45" s="14"/>
    </row>
    <row r="46" spans="1:15" x14ac:dyDescent="0.4">
      <c r="A46" s="1" t="s">
        <v>214</v>
      </c>
      <c r="C46" s="15">
        <f>SUM(C36:C45)</f>
        <v>0</v>
      </c>
      <c r="E46" s="15">
        <f>SUM(E36:E45)</f>
        <v>0</v>
      </c>
    </row>
    <row r="47" spans="1:15" x14ac:dyDescent="0.4">
      <c r="A47" s="11" t="s">
        <v>71</v>
      </c>
      <c r="C47" s="15"/>
      <c r="E47" s="15"/>
    </row>
    <row r="48" spans="1:15" x14ac:dyDescent="0.4">
      <c r="C48" s="15"/>
      <c r="E48" s="15"/>
    </row>
    <row r="49" spans="1:15" x14ac:dyDescent="0.4">
      <c r="A49" s="29" t="s">
        <v>99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17">
        <v>4</v>
      </c>
    </row>
    <row r="50" spans="1:15" x14ac:dyDescent="0.4">
      <c r="A50" t="s">
        <v>100</v>
      </c>
      <c r="B50" t="s">
        <v>101</v>
      </c>
      <c r="C50" s="15"/>
      <c r="E50" s="15"/>
      <c r="F50" s="14"/>
    </row>
    <row r="51" spans="1:15" x14ac:dyDescent="0.4">
      <c r="A51" t="s">
        <v>103</v>
      </c>
      <c r="B51" t="s">
        <v>104</v>
      </c>
      <c r="C51" s="15"/>
      <c r="E51" s="15"/>
      <c r="F51" s="14"/>
    </row>
    <row r="52" spans="1:15" x14ac:dyDescent="0.4">
      <c r="A52" s="3" t="s">
        <v>106</v>
      </c>
      <c r="B52" t="s">
        <v>47</v>
      </c>
      <c r="C52" s="15"/>
      <c r="E52" s="15"/>
      <c r="F52" s="14"/>
    </row>
    <row r="53" spans="1:15" x14ac:dyDescent="0.4">
      <c r="A53" s="3" t="s">
        <v>108</v>
      </c>
      <c r="B53" t="s">
        <v>109</v>
      </c>
      <c r="C53" s="15"/>
      <c r="E53" s="15"/>
      <c r="F53" s="14"/>
    </row>
    <row r="54" spans="1:15" x14ac:dyDescent="0.4">
      <c r="A54" t="s">
        <v>111</v>
      </c>
      <c r="B54" t="s">
        <v>109</v>
      </c>
      <c r="C54" s="15"/>
      <c r="E54" s="15"/>
      <c r="F54" t="s">
        <v>69</v>
      </c>
    </row>
    <row r="55" spans="1:15" x14ac:dyDescent="0.4">
      <c r="A55" t="s">
        <v>113</v>
      </c>
      <c r="B55" t="s">
        <v>114</v>
      </c>
      <c r="C55" s="15"/>
      <c r="E55" s="15"/>
      <c r="F55" s="14"/>
    </row>
    <row r="56" spans="1:15" x14ac:dyDescent="0.4">
      <c r="A56" t="s">
        <v>116</v>
      </c>
      <c r="B56">
        <v>2</v>
      </c>
      <c r="C56" s="15"/>
      <c r="E56" s="15"/>
      <c r="F56" s="14"/>
    </row>
    <row r="57" spans="1:15" x14ac:dyDescent="0.4">
      <c r="A57" t="s">
        <v>118</v>
      </c>
      <c r="B57" t="s">
        <v>119</v>
      </c>
      <c r="C57" s="15"/>
      <c r="E57" s="15"/>
      <c r="F57" s="14"/>
    </row>
    <row r="58" spans="1:15" x14ac:dyDescent="0.4">
      <c r="A58" s="1" t="s">
        <v>214</v>
      </c>
      <c r="C58" s="15">
        <f>SUM(C50:C57)</f>
        <v>0</v>
      </c>
      <c r="E58" s="15">
        <f>SUM(E50:E57)</f>
        <v>0</v>
      </c>
    </row>
    <row r="59" spans="1:15" x14ac:dyDescent="0.4">
      <c r="A59" s="13" t="s">
        <v>121</v>
      </c>
      <c r="C59" s="15"/>
      <c r="E59" s="15"/>
    </row>
    <row r="60" spans="1:15" x14ac:dyDescent="0.4">
      <c r="A60" s="11"/>
      <c r="C60" s="15"/>
      <c r="E60" s="15"/>
    </row>
    <row r="61" spans="1:15" x14ac:dyDescent="0.4">
      <c r="A61" s="29" t="s">
        <v>122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17">
        <v>2</v>
      </c>
    </row>
    <row r="62" spans="1:15" x14ac:dyDescent="0.4">
      <c r="A62" t="s">
        <v>123</v>
      </c>
      <c r="B62" t="s">
        <v>124</v>
      </c>
      <c r="C62" s="15"/>
      <c r="E62" s="15"/>
      <c r="F62" s="14"/>
    </row>
    <row r="63" spans="1:15" x14ac:dyDescent="0.4">
      <c r="A63" t="s">
        <v>126</v>
      </c>
      <c r="B63" t="s">
        <v>127</v>
      </c>
      <c r="C63" s="15"/>
      <c r="E63" s="15"/>
      <c r="F63" t="s">
        <v>69</v>
      </c>
    </row>
    <row r="64" spans="1:15" x14ac:dyDescent="0.4">
      <c r="A64" t="s">
        <v>134</v>
      </c>
      <c r="B64" t="s">
        <v>38</v>
      </c>
      <c r="C64" s="15"/>
      <c r="E64" s="15"/>
      <c r="F64" s="14"/>
    </row>
    <row r="65" spans="1:15" x14ac:dyDescent="0.4">
      <c r="A65" s="3" t="s">
        <v>137</v>
      </c>
      <c r="B65" t="s">
        <v>138</v>
      </c>
      <c r="C65" s="15"/>
      <c r="E65" s="15"/>
      <c r="F65" s="14"/>
    </row>
    <row r="66" spans="1:15" x14ac:dyDescent="0.4">
      <c r="A66" t="s">
        <v>140</v>
      </c>
      <c r="B66" t="s">
        <v>22</v>
      </c>
      <c r="C66" s="15"/>
      <c r="E66" s="15"/>
      <c r="F66" s="14"/>
    </row>
    <row r="67" spans="1:15" x14ac:dyDescent="0.4">
      <c r="A67" s="1" t="s">
        <v>214</v>
      </c>
      <c r="C67" s="15">
        <f>SUM(C61:C66)</f>
        <v>0</v>
      </c>
      <c r="E67" s="15">
        <f>SUM(E61:E66)</f>
        <v>0</v>
      </c>
    </row>
    <row r="68" spans="1:15" x14ac:dyDescent="0.4">
      <c r="A68" s="13" t="s">
        <v>142</v>
      </c>
      <c r="C68" s="15"/>
      <c r="E68" s="15"/>
    </row>
    <row r="69" spans="1:15" x14ac:dyDescent="0.4">
      <c r="A69" s="11"/>
      <c r="C69" s="15"/>
      <c r="E69" s="15"/>
    </row>
    <row r="70" spans="1:15" x14ac:dyDescent="0.4">
      <c r="A70" s="29" t="s">
        <v>143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17">
        <v>4</v>
      </c>
    </row>
    <row r="71" spans="1:15" x14ac:dyDescent="0.4">
      <c r="A71" t="s">
        <v>144</v>
      </c>
      <c r="B71">
        <v>3</v>
      </c>
      <c r="C71" s="15"/>
      <c r="E71" s="15"/>
      <c r="F71" s="14"/>
    </row>
    <row r="72" spans="1:15" x14ac:dyDescent="0.4">
      <c r="A72" t="s">
        <v>145</v>
      </c>
      <c r="B72">
        <v>1</v>
      </c>
      <c r="C72" s="15"/>
      <c r="E72" s="15"/>
      <c r="F72" s="14"/>
    </row>
    <row r="73" spans="1:15" x14ac:dyDescent="0.4">
      <c r="A73" t="s">
        <v>146</v>
      </c>
      <c r="B73">
        <v>1</v>
      </c>
      <c r="C73" s="15"/>
      <c r="E73" s="15"/>
      <c r="F73" s="14"/>
    </row>
    <row r="74" spans="1:15" x14ac:dyDescent="0.4">
      <c r="A74" t="s">
        <v>147</v>
      </c>
      <c r="B74" t="s">
        <v>148</v>
      </c>
      <c r="C74" s="15"/>
      <c r="E74" s="15"/>
      <c r="F74" t="s">
        <v>69</v>
      </c>
    </row>
    <row r="75" spans="1:15" x14ac:dyDescent="0.4">
      <c r="A75" t="s">
        <v>73</v>
      </c>
      <c r="B75" t="s">
        <v>149</v>
      </c>
      <c r="C75" s="19"/>
      <c r="D75" s="20"/>
      <c r="E75" s="19"/>
      <c r="F75" t="s">
        <v>69</v>
      </c>
    </row>
    <row r="76" spans="1:15" x14ac:dyDescent="0.4">
      <c r="A76" t="s">
        <v>150</v>
      </c>
      <c r="B76" t="s">
        <v>101</v>
      </c>
      <c r="C76" s="15"/>
      <c r="E76" s="15"/>
      <c r="F76" s="14"/>
    </row>
    <row r="77" spans="1:15" x14ac:dyDescent="0.4">
      <c r="A77" t="s">
        <v>151</v>
      </c>
      <c r="B77" t="s">
        <v>17</v>
      </c>
      <c r="C77" s="15"/>
      <c r="E77" s="15"/>
      <c r="F77" s="14"/>
    </row>
    <row r="78" spans="1:15" x14ac:dyDescent="0.4">
      <c r="A78" t="s">
        <v>152</v>
      </c>
      <c r="B78" t="s">
        <v>68</v>
      </c>
      <c r="C78" s="15"/>
      <c r="E78" s="15"/>
      <c r="F78" s="14"/>
    </row>
    <row r="79" spans="1:15" x14ac:dyDescent="0.4">
      <c r="A79" t="s">
        <v>111</v>
      </c>
      <c r="B79" t="s">
        <v>68</v>
      </c>
      <c r="C79" s="15"/>
      <c r="E79" s="15"/>
      <c r="F79" t="s">
        <v>69</v>
      </c>
    </row>
    <row r="80" spans="1:15" x14ac:dyDescent="0.4">
      <c r="A80" t="s">
        <v>153</v>
      </c>
      <c r="B80" t="s">
        <v>148</v>
      </c>
      <c r="C80" s="15"/>
      <c r="E80" s="15"/>
      <c r="F80" t="s">
        <v>69</v>
      </c>
    </row>
    <row r="81" spans="1:15" x14ac:dyDescent="0.4">
      <c r="A81" t="s">
        <v>154</v>
      </c>
      <c r="B81" t="s">
        <v>68</v>
      </c>
      <c r="C81" s="15"/>
      <c r="E81" s="15"/>
      <c r="F81" s="14"/>
    </row>
    <row r="82" spans="1:15" x14ac:dyDescent="0.4">
      <c r="A82" t="s">
        <v>155</v>
      </c>
      <c r="B82" t="s">
        <v>68</v>
      </c>
      <c r="C82" s="15"/>
      <c r="E82" s="15"/>
      <c r="F82" s="14"/>
    </row>
    <row r="83" spans="1:15" x14ac:dyDescent="0.4">
      <c r="A83" s="1" t="s">
        <v>214</v>
      </c>
      <c r="C83" s="15">
        <f>SUM(C71:C82)</f>
        <v>0</v>
      </c>
      <c r="E83" s="15">
        <f>SUM(E71:E82)</f>
        <v>0</v>
      </c>
    </row>
    <row r="84" spans="1:15" x14ac:dyDescent="0.4">
      <c r="A84" s="11" t="s">
        <v>71</v>
      </c>
      <c r="C84" s="15"/>
      <c r="E84" s="15"/>
    </row>
    <row r="85" spans="1:15" x14ac:dyDescent="0.4">
      <c r="C85" s="15"/>
      <c r="E85" s="15"/>
    </row>
    <row r="86" spans="1:15" x14ac:dyDescent="0.4">
      <c r="A86" s="29" t="s">
        <v>194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17">
        <v>4</v>
      </c>
    </row>
    <row r="87" spans="1:15" x14ac:dyDescent="0.4">
      <c r="A87" t="s">
        <v>73</v>
      </c>
      <c r="B87" t="s">
        <v>149</v>
      </c>
      <c r="C87" s="19"/>
      <c r="D87" s="20"/>
      <c r="E87" s="19"/>
      <c r="F87" t="s">
        <v>69</v>
      </c>
    </row>
    <row r="88" spans="1:15" x14ac:dyDescent="0.4">
      <c r="A88" t="s">
        <v>145</v>
      </c>
      <c r="B88" s="9">
        <v>0.5</v>
      </c>
      <c r="C88" s="15"/>
      <c r="E88" s="15"/>
      <c r="F88" t="s">
        <v>69</v>
      </c>
    </row>
    <row r="89" spans="1:15" x14ac:dyDescent="0.4">
      <c r="A89" t="s">
        <v>157</v>
      </c>
      <c r="B89" s="8" t="s">
        <v>17</v>
      </c>
      <c r="C89" s="15"/>
      <c r="E89" s="15"/>
      <c r="F89" s="14"/>
    </row>
    <row r="90" spans="1:15" x14ac:dyDescent="0.4">
      <c r="A90" t="s">
        <v>158</v>
      </c>
      <c r="B90">
        <v>1</v>
      </c>
      <c r="C90" s="15"/>
      <c r="E90" s="15"/>
      <c r="F90" t="s">
        <v>69</v>
      </c>
    </row>
    <row r="91" spans="1:15" x14ac:dyDescent="0.4">
      <c r="A91" t="s">
        <v>232</v>
      </c>
      <c r="B91" t="s">
        <v>38</v>
      </c>
      <c r="C91" s="15"/>
      <c r="E91" s="15"/>
      <c r="F91" t="s">
        <v>69</v>
      </c>
    </row>
    <row r="92" spans="1:15" x14ac:dyDescent="0.4">
      <c r="A92" t="s">
        <v>26</v>
      </c>
      <c r="B92" t="s">
        <v>68</v>
      </c>
      <c r="C92" s="15"/>
      <c r="E92" s="15"/>
      <c r="F92" t="s">
        <v>69</v>
      </c>
    </row>
    <row r="93" spans="1:15" x14ac:dyDescent="0.4">
      <c r="A93" t="s">
        <v>147</v>
      </c>
      <c r="B93" t="s">
        <v>148</v>
      </c>
      <c r="C93" s="15"/>
      <c r="E93" s="15"/>
      <c r="F93" t="s">
        <v>69</v>
      </c>
    </row>
    <row r="94" spans="1:15" x14ac:dyDescent="0.4">
      <c r="A94" s="1" t="s">
        <v>214</v>
      </c>
      <c r="C94" s="15">
        <f>SUM(C87:C93)</f>
        <v>0</v>
      </c>
      <c r="E94" s="15">
        <f>SUM(E87:E93)</f>
        <v>0</v>
      </c>
    </row>
    <row r="95" spans="1:15" x14ac:dyDescent="0.4">
      <c r="A95" s="11" t="s">
        <v>71</v>
      </c>
      <c r="C95" s="15"/>
      <c r="E95" s="15"/>
    </row>
    <row r="96" spans="1:15" x14ac:dyDescent="0.4">
      <c r="C96" s="15"/>
      <c r="E96" s="15"/>
    </row>
    <row r="97" spans="1:15" x14ac:dyDescent="0.4">
      <c r="A97" s="29" t="s">
        <v>159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17">
        <v>4</v>
      </c>
    </row>
    <row r="98" spans="1:15" x14ac:dyDescent="0.4">
      <c r="A98" t="s">
        <v>73</v>
      </c>
      <c r="B98" t="s">
        <v>160</v>
      </c>
      <c r="C98" s="19"/>
      <c r="D98" s="20"/>
      <c r="E98" s="19"/>
      <c r="F98" t="s">
        <v>69</v>
      </c>
    </row>
    <row r="99" spans="1:15" x14ac:dyDescent="0.4">
      <c r="A99" t="s">
        <v>161</v>
      </c>
      <c r="B99" t="s">
        <v>17</v>
      </c>
      <c r="C99" s="15"/>
      <c r="E99" s="15"/>
      <c r="F99" t="s">
        <v>69</v>
      </c>
    </row>
    <row r="100" spans="1:15" x14ac:dyDescent="0.4">
      <c r="A100" t="s">
        <v>162</v>
      </c>
      <c r="B100">
        <v>2</v>
      </c>
      <c r="C100" s="15"/>
      <c r="E100" s="15"/>
      <c r="F100" s="14"/>
    </row>
    <row r="101" spans="1:15" x14ac:dyDescent="0.4">
      <c r="A101" t="s">
        <v>163</v>
      </c>
      <c r="B101" t="s">
        <v>17</v>
      </c>
      <c r="C101" s="15"/>
      <c r="E101" s="15"/>
      <c r="F101" s="14"/>
    </row>
    <row r="102" spans="1:15" x14ac:dyDescent="0.4">
      <c r="A102" t="s">
        <v>158</v>
      </c>
      <c r="B102">
        <v>2</v>
      </c>
      <c r="C102" s="15"/>
      <c r="E102" s="15"/>
      <c r="F102" t="s">
        <v>69</v>
      </c>
    </row>
    <row r="103" spans="1:15" x14ac:dyDescent="0.4">
      <c r="A103" t="s">
        <v>164</v>
      </c>
      <c r="B103">
        <v>4</v>
      </c>
      <c r="C103" s="15"/>
      <c r="E103" s="15"/>
      <c r="F103" t="s">
        <v>69</v>
      </c>
    </row>
    <row r="104" spans="1:15" x14ac:dyDescent="0.4">
      <c r="A104" t="s">
        <v>147</v>
      </c>
      <c r="B104" t="s">
        <v>22</v>
      </c>
      <c r="C104" s="15"/>
      <c r="E104" s="15"/>
      <c r="F104" t="s">
        <v>69</v>
      </c>
    </row>
    <row r="105" spans="1:15" x14ac:dyDescent="0.4">
      <c r="A105" s="1" t="s">
        <v>214</v>
      </c>
      <c r="C105" s="15">
        <f>SUM(C98:C104)</f>
        <v>0</v>
      </c>
      <c r="E105" s="15">
        <f>SUM(E98:E104)</f>
        <v>0</v>
      </c>
    </row>
    <row r="106" spans="1:15" x14ac:dyDescent="0.4">
      <c r="A106" s="11" t="s">
        <v>71</v>
      </c>
      <c r="C106" s="15"/>
      <c r="E106" s="15"/>
    </row>
    <row r="107" spans="1:15" x14ac:dyDescent="0.4">
      <c r="C107" s="15"/>
      <c r="E107" s="15"/>
    </row>
    <row r="108" spans="1:15" x14ac:dyDescent="0.4">
      <c r="A108" s="29" t="s">
        <v>165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17">
        <v>1</v>
      </c>
    </row>
    <row r="109" spans="1:15" x14ac:dyDescent="0.4">
      <c r="A109" t="s">
        <v>166</v>
      </c>
      <c r="B109" t="s">
        <v>167</v>
      </c>
      <c r="C109" s="15"/>
      <c r="E109" s="15"/>
      <c r="F109" s="14"/>
    </row>
    <row r="110" spans="1:15" x14ac:dyDescent="0.4">
      <c r="A110" t="s">
        <v>168</v>
      </c>
      <c r="B110" t="s">
        <v>169</v>
      </c>
      <c r="C110" s="15"/>
      <c r="E110" s="15"/>
      <c r="F110" s="14"/>
    </row>
    <row r="111" spans="1:15" x14ac:dyDescent="0.4">
      <c r="A111" t="s">
        <v>170</v>
      </c>
      <c r="B111" t="s">
        <v>68</v>
      </c>
      <c r="C111" s="15"/>
      <c r="E111" s="15"/>
      <c r="F111" s="14"/>
    </row>
    <row r="112" spans="1:15" x14ac:dyDescent="0.4">
      <c r="A112" t="s">
        <v>171</v>
      </c>
      <c r="B112" t="s">
        <v>172</v>
      </c>
      <c r="C112" s="15"/>
      <c r="E112" s="15"/>
      <c r="F112" s="14"/>
    </row>
    <row r="113" spans="1:6" x14ac:dyDescent="0.4">
      <c r="A113" t="s">
        <v>162</v>
      </c>
      <c r="B113" s="8" t="s">
        <v>173</v>
      </c>
      <c r="C113" s="15"/>
      <c r="E113" s="15"/>
      <c r="F113" t="s">
        <v>69</v>
      </c>
    </row>
    <row r="114" spans="1:6" x14ac:dyDescent="0.4">
      <c r="A114" t="s">
        <v>174</v>
      </c>
      <c r="B114" t="s">
        <v>175</v>
      </c>
      <c r="C114" s="15"/>
      <c r="E114" s="15"/>
      <c r="F114" t="s">
        <v>69</v>
      </c>
    </row>
    <row r="115" spans="1:6" x14ac:dyDescent="0.4">
      <c r="A115" t="s">
        <v>176</v>
      </c>
      <c r="B115" t="s">
        <v>167</v>
      </c>
      <c r="C115" s="15"/>
      <c r="E115" s="15"/>
      <c r="F115" s="14"/>
    </row>
    <row r="116" spans="1:6" x14ac:dyDescent="0.4">
      <c r="A116" t="s">
        <v>177</v>
      </c>
      <c r="B116" t="s">
        <v>173</v>
      </c>
      <c r="C116" s="15"/>
      <c r="E116" s="15"/>
      <c r="F116" s="14"/>
    </row>
    <row r="117" spans="1:6" x14ac:dyDescent="0.4">
      <c r="A117" t="s">
        <v>178</v>
      </c>
      <c r="B117" t="s">
        <v>179</v>
      </c>
      <c r="C117" s="15"/>
      <c r="E117" s="15"/>
      <c r="F117" s="14"/>
    </row>
    <row r="118" spans="1:6" x14ac:dyDescent="0.4">
      <c r="A118" t="s">
        <v>180</v>
      </c>
      <c r="B118" t="s">
        <v>38</v>
      </c>
      <c r="C118" s="15"/>
      <c r="E118" s="15"/>
      <c r="F118" s="14"/>
    </row>
    <row r="119" spans="1:6" x14ac:dyDescent="0.4">
      <c r="A119" t="s">
        <v>26</v>
      </c>
      <c r="B119" t="s">
        <v>182</v>
      </c>
      <c r="C119" s="15"/>
      <c r="E119" s="15"/>
      <c r="F119" t="s">
        <v>69</v>
      </c>
    </row>
    <row r="120" spans="1:6" x14ac:dyDescent="0.4">
      <c r="A120" s="1" t="s">
        <v>214</v>
      </c>
      <c r="C120" s="15">
        <f>SUM(C109:C119)</f>
        <v>0</v>
      </c>
      <c r="E120" s="15">
        <f>SUM(E109:E119)</f>
        <v>0</v>
      </c>
    </row>
    <row r="121" spans="1:6" x14ac:dyDescent="0.4">
      <c r="A121" s="11" t="s">
        <v>71</v>
      </c>
      <c r="C121" s="15"/>
      <c r="E121" s="15"/>
    </row>
    <row r="122" spans="1:6" x14ac:dyDescent="0.4">
      <c r="C122" s="15"/>
      <c r="E122" s="15"/>
    </row>
  </sheetData>
  <mergeCells count="10">
    <mergeCell ref="A97:N97"/>
    <mergeCell ref="A108:N108"/>
    <mergeCell ref="A3:N3"/>
    <mergeCell ref="A14:N14"/>
    <mergeCell ref="A24:N24"/>
    <mergeCell ref="A35:N35"/>
    <mergeCell ref="A49:N49"/>
    <mergeCell ref="A61:N61"/>
    <mergeCell ref="A70:N70"/>
    <mergeCell ref="A86:N86"/>
  </mergeCells>
  <hyperlinks>
    <hyperlink ref="F4" r:id="rId1" xr:uid="{2A45A685-BA60-41D1-8E36-2494295239C0}"/>
    <hyperlink ref="F5" r:id="rId2" xr:uid="{B73C5544-A773-4490-8A25-AB530BACF025}"/>
    <hyperlink ref="F6" r:id="rId3" xr:uid="{22D7D64B-5584-45B7-B8FE-5CF75C69AB06}"/>
    <hyperlink ref="F7" r:id="rId4" xr:uid="{1E5C3C87-A1A0-4BBC-B096-5D67D03E61C4}"/>
    <hyperlink ref="F8" r:id="rId5" xr:uid="{E208F174-12F8-41FB-8121-5D9C557E1CB4}"/>
    <hyperlink ref="F9" r:id="rId6" xr:uid="{9F2B93A6-795E-4A1B-B0E5-5ABE63745D9C}"/>
    <hyperlink ref="F10" r:id="rId7" xr:uid="{85900CBD-C54C-4D5A-A330-8A2FDAC9982F}"/>
    <hyperlink ref="F15" r:id="rId8" xr:uid="{891F2736-A0E1-40CB-9AAE-900F23E50975}"/>
    <hyperlink ref="F16" r:id="rId9" xr:uid="{0E13207A-9C77-4002-9CFC-6E728E8F8D60}"/>
    <hyperlink ref="F17" r:id="rId10" xr:uid="{59403720-33EB-4D6C-B14B-2BDFF2B480AE}"/>
    <hyperlink ref="F18" r:id="rId11" xr:uid="{E35D8EBE-2BD2-4A42-81FD-C391A04DAF82}"/>
    <hyperlink ref="F19" r:id="rId12" xr:uid="{B9FF500E-48B0-4CE9-A0DC-2A774C02B469}"/>
    <hyperlink ref="F20" r:id="rId13" xr:uid="{DBA6F65E-BB39-4DC5-82E2-3CF63C4E9523}"/>
    <hyperlink ref="F25" r:id="rId14" xr:uid="{D540C52E-C30E-477B-8C4F-D05B65D11D3E}"/>
    <hyperlink ref="F26" r:id="rId15" xr:uid="{D834ACE5-5AC7-4453-91F2-71D4F633B8D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8429-8C60-4F33-8E28-DD22EFB30ABD}">
  <dimension ref="A1:Q122"/>
  <sheetViews>
    <sheetView topLeftCell="A95" workbookViewId="0">
      <selection activeCell="C115" sqref="C115"/>
    </sheetView>
  </sheetViews>
  <sheetFormatPr defaultRowHeight="14.6" x14ac:dyDescent="0.4"/>
  <sheetData>
    <row r="1" spans="1:17" x14ac:dyDescent="0.4">
      <c r="A1" s="6" t="s">
        <v>0</v>
      </c>
      <c r="B1" s="7" t="s">
        <v>195</v>
      </c>
      <c r="C1" s="16" t="s">
        <v>196</v>
      </c>
      <c r="D1" s="6" t="s">
        <v>197</v>
      </c>
      <c r="E1" s="16" t="s">
        <v>198</v>
      </c>
      <c r="F1" s="6" t="s">
        <v>8</v>
      </c>
      <c r="G1" s="6"/>
      <c r="H1" s="6"/>
      <c r="I1" s="6"/>
      <c r="J1" s="6"/>
      <c r="K1" s="6"/>
      <c r="L1" s="6"/>
      <c r="M1" s="6"/>
      <c r="N1" s="6"/>
      <c r="O1" s="6"/>
      <c r="P1" s="1"/>
      <c r="Q1" s="1"/>
    </row>
    <row r="2" spans="1:17" x14ac:dyDescent="0.4">
      <c r="A2" s="1"/>
      <c r="C2" s="15"/>
      <c r="E2" s="15"/>
    </row>
    <row r="3" spans="1:17" x14ac:dyDescent="0.4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7">
        <v>6</v>
      </c>
    </row>
    <row r="4" spans="1:17" x14ac:dyDescent="0.4">
      <c r="A4" t="s">
        <v>11</v>
      </c>
      <c r="B4" t="s">
        <v>12</v>
      </c>
      <c r="C4" s="15">
        <v>2.29</v>
      </c>
      <c r="D4" t="s">
        <v>233</v>
      </c>
      <c r="E4" s="15">
        <v>2.29</v>
      </c>
      <c r="F4" s="14" t="s">
        <v>234</v>
      </c>
    </row>
    <row r="5" spans="1:17" x14ac:dyDescent="0.4">
      <c r="A5" t="s">
        <v>15</v>
      </c>
      <c r="B5" t="s">
        <v>16</v>
      </c>
      <c r="C5" s="15">
        <v>4.99</v>
      </c>
      <c r="D5" t="s">
        <v>201</v>
      </c>
      <c r="E5" s="15">
        <v>4.99</v>
      </c>
      <c r="F5" s="14" t="s">
        <v>235</v>
      </c>
    </row>
    <row r="6" spans="1:17" x14ac:dyDescent="0.4">
      <c r="A6" t="s">
        <v>203</v>
      </c>
      <c r="B6" t="s">
        <v>204</v>
      </c>
      <c r="C6" s="15">
        <v>3.79</v>
      </c>
      <c r="D6" t="s">
        <v>205</v>
      </c>
      <c r="E6" s="15">
        <v>3.79</v>
      </c>
      <c r="F6" s="14" t="s">
        <v>236</v>
      </c>
    </row>
    <row r="7" spans="1:17" x14ac:dyDescent="0.4">
      <c r="A7" t="s">
        <v>21</v>
      </c>
      <c r="B7" t="s">
        <v>22</v>
      </c>
      <c r="C7" s="15">
        <v>9.99</v>
      </c>
      <c r="D7" t="s">
        <v>207</v>
      </c>
      <c r="E7" s="15">
        <v>0.3</v>
      </c>
      <c r="F7" s="14" t="s">
        <v>237</v>
      </c>
    </row>
    <row r="8" spans="1:17" x14ac:dyDescent="0.4">
      <c r="A8" t="s">
        <v>26</v>
      </c>
      <c r="B8" t="s">
        <v>27</v>
      </c>
      <c r="C8" s="15">
        <v>1.69</v>
      </c>
      <c r="D8" t="s">
        <v>238</v>
      </c>
      <c r="E8" s="15">
        <v>0.01</v>
      </c>
      <c r="F8" s="14" t="s">
        <v>239</v>
      </c>
    </row>
    <row r="9" spans="1:17" x14ac:dyDescent="0.4">
      <c r="A9" t="s">
        <v>30</v>
      </c>
      <c r="B9" t="s">
        <v>22</v>
      </c>
      <c r="C9" s="15"/>
      <c r="E9" s="15"/>
      <c r="F9" s="14"/>
    </row>
    <row r="10" spans="1:17" x14ac:dyDescent="0.4">
      <c r="A10" t="s">
        <v>32</v>
      </c>
      <c r="B10" t="s">
        <v>33</v>
      </c>
      <c r="C10" s="15">
        <v>1.99</v>
      </c>
      <c r="D10" t="s">
        <v>223</v>
      </c>
      <c r="E10" s="15">
        <v>1</v>
      </c>
      <c r="F10" s="14" t="s">
        <v>240</v>
      </c>
    </row>
    <row r="11" spans="1:17" x14ac:dyDescent="0.4">
      <c r="A11" s="1" t="s">
        <v>214</v>
      </c>
      <c r="C11" s="15">
        <f>SUM(C4:C10)</f>
        <v>24.740000000000002</v>
      </c>
      <c r="E11" s="15">
        <f>SUM(E4:E10)</f>
        <v>12.38</v>
      </c>
    </row>
    <row r="12" spans="1:17" x14ac:dyDescent="0.4">
      <c r="A12" s="11" t="s">
        <v>35</v>
      </c>
      <c r="C12" s="15"/>
      <c r="E12" s="15"/>
    </row>
    <row r="13" spans="1:17" x14ac:dyDescent="0.4">
      <c r="A13" s="11"/>
      <c r="C13" s="15"/>
      <c r="E13" s="15"/>
    </row>
    <row r="14" spans="1:17" x14ac:dyDescent="0.4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17">
        <v>1</v>
      </c>
    </row>
    <row r="15" spans="1:17" x14ac:dyDescent="0.4">
      <c r="A15" t="s">
        <v>37</v>
      </c>
      <c r="B15" t="s">
        <v>38</v>
      </c>
      <c r="C15" s="15">
        <v>2.99</v>
      </c>
      <c r="D15" t="s">
        <v>241</v>
      </c>
      <c r="E15" s="15">
        <v>0.33</v>
      </c>
      <c r="F15" s="14" t="s">
        <v>242</v>
      </c>
    </row>
    <row r="16" spans="1:17" x14ac:dyDescent="0.4">
      <c r="A16" t="s">
        <v>41</v>
      </c>
      <c r="B16" t="s">
        <v>38</v>
      </c>
      <c r="C16" s="15">
        <v>2.99</v>
      </c>
      <c r="D16" t="s">
        <v>223</v>
      </c>
      <c r="E16" s="15">
        <v>0.37</v>
      </c>
      <c r="F16" s="14" t="s">
        <v>243</v>
      </c>
    </row>
    <row r="17" spans="1:15" x14ac:dyDescent="0.4">
      <c r="A17" t="s">
        <v>43</v>
      </c>
      <c r="B17" t="s">
        <v>44</v>
      </c>
      <c r="C17" s="15">
        <v>5.99</v>
      </c>
      <c r="D17" t="s">
        <v>219</v>
      </c>
      <c r="E17" s="15"/>
      <c r="F17" s="14"/>
    </row>
    <row r="18" spans="1:15" x14ac:dyDescent="0.4">
      <c r="A18" t="s">
        <v>46</v>
      </c>
      <c r="B18" t="s">
        <v>47</v>
      </c>
      <c r="C18" s="15"/>
      <c r="E18" s="26"/>
      <c r="F18" s="14"/>
    </row>
    <row r="19" spans="1:15" x14ac:dyDescent="0.4">
      <c r="A19" t="s">
        <v>222</v>
      </c>
      <c r="B19" t="s">
        <v>38</v>
      </c>
      <c r="C19" s="15">
        <v>6.99</v>
      </c>
      <c r="D19" t="s">
        <v>217</v>
      </c>
      <c r="E19" s="26">
        <v>7.0000000000000007E-2</v>
      </c>
      <c r="F19" s="14" t="s">
        <v>244</v>
      </c>
    </row>
    <row r="20" spans="1:15" x14ac:dyDescent="0.4">
      <c r="A20" t="s">
        <v>50</v>
      </c>
      <c r="B20" t="s">
        <v>47</v>
      </c>
      <c r="C20" s="15"/>
      <c r="E20" s="15"/>
      <c r="F20" s="14"/>
    </row>
    <row r="21" spans="1:15" x14ac:dyDescent="0.4">
      <c r="A21" s="1" t="s">
        <v>214</v>
      </c>
      <c r="C21" s="15">
        <f>SUM(C15:C20)</f>
        <v>18.96</v>
      </c>
      <c r="E21" s="15">
        <f>SUM(E15:E20)</f>
        <v>0.77</v>
      </c>
    </row>
    <row r="22" spans="1:15" x14ac:dyDescent="0.4">
      <c r="A22" s="12" t="s">
        <v>52</v>
      </c>
      <c r="C22" s="15"/>
      <c r="E22" s="15"/>
    </row>
    <row r="23" spans="1:15" x14ac:dyDescent="0.4">
      <c r="A23" s="10"/>
      <c r="C23" s="15"/>
      <c r="E23" s="15"/>
    </row>
    <row r="24" spans="1:15" x14ac:dyDescent="0.4">
      <c r="A24" s="29" t="s">
        <v>53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17">
        <v>4</v>
      </c>
    </row>
    <row r="25" spans="1:15" x14ac:dyDescent="0.4">
      <c r="A25" t="s">
        <v>54</v>
      </c>
      <c r="B25">
        <v>8</v>
      </c>
      <c r="C25" s="15">
        <v>2.99</v>
      </c>
      <c r="D25" t="s">
        <v>245</v>
      </c>
      <c r="E25" s="15">
        <v>1.99</v>
      </c>
      <c r="F25" s="14" t="s">
        <v>246</v>
      </c>
    </row>
    <row r="26" spans="1:15" x14ac:dyDescent="0.4">
      <c r="A26" t="s">
        <v>56</v>
      </c>
      <c r="B26" t="s">
        <v>57</v>
      </c>
      <c r="C26" s="15"/>
      <c r="E26" s="15"/>
      <c r="F26" s="14"/>
    </row>
    <row r="27" spans="1:15" x14ac:dyDescent="0.4">
      <c r="A27" s="3" t="s">
        <v>60</v>
      </c>
      <c r="B27" t="s">
        <v>61</v>
      </c>
      <c r="C27" s="15">
        <v>7.49</v>
      </c>
      <c r="D27" t="s">
        <v>74</v>
      </c>
      <c r="E27" s="15">
        <v>7.49</v>
      </c>
      <c r="F27" s="14" t="s">
        <v>247</v>
      </c>
    </row>
    <row r="28" spans="1:15" x14ac:dyDescent="0.4">
      <c r="A28" t="s">
        <v>63</v>
      </c>
      <c r="B28" t="s">
        <v>64</v>
      </c>
      <c r="C28" s="15">
        <v>0.99</v>
      </c>
      <c r="D28" t="s">
        <v>199</v>
      </c>
      <c r="E28" s="15">
        <v>0.99</v>
      </c>
      <c r="F28" s="14" t="s">
        <v>248</v>
      </c>
    </row>
    <row r="29" spans="1:15" x14ac:dyDescent="0.4">
      <c r="A29" t="s">
        <v>66</v>
      </c>
      <c r="B29" t="s">
        <v>12</v>
      </c>
      <c r="C29" s="15">
        <v>4.29</v>
      </c>
      <c r="D29" t="s">
        <v>201</v>
      </c>
      <c r="E29" s="15">
        <v>4.29</v>
      </c>
      <c r="F29" s="14" t="s">
        <v>249</v>
      </c>
    </row>
    <row r="30" spans="1:15" x14ac:dyDescent="0.4">
      <c r="A30" t="s">
        <v>26</v>
      </c>
      <c r="B30" t="s">
        <v>68</v>
      </c>
      <c r="C30" s="15">
        <v>1.69</v>
      </c>
      <c r="D30" t="s">
        <v>238</v>
      </c>
      <c r="E30" s="15">
        <v>0.01</v>
      </c>
      <c r="F30" s="14" t="s">
        <v>239</v>
      </c>
    </row>
    <row r="31" spans="1:15" x14ac:dyDescent="0.4">
      <c r="A31" t="s">
        <v>70</v>
      </c>
      <c r="B31" t="s">
        <v>229</v>
      </c>
      <c r="C31" s="15">
        <v>9.99</v>
      </c>
      <c r="D31" t="s">
        <v>207</v>
      </c>
      <c r="E31" s="15">
        <v>0.3</v>
      </c>
      <c r="F31" s="14" t="s">
        <v>237</v>
      </c>
    </row>
    <row r="32" spans="1:15" x14ac:dyDescent="0.4">
      <c r="A32" s="1" t="s">
        <v>214</v>
      </c>
      <c r="C32" s="15">
        <f>SUM(C25:C31)</f>
        <v>27.440000000000005</v>
      </c>
      <c r="E32" s="15">
        <f>SUM(E25:E31)</f>
        <v>15.070000000000002</v>
      </c>
    </row>
    <row r="33" spans="1:15" x14ac:dyDescent="0.4">
      <c r="A33" s="11" t="s">
        <v>71</v>
      </c>
      <c r="C33" s="15"/>
      <c r="E33" s="15"/>
    </row>
    <row r="34" spans="1:15" x14ac:dyDescent="0.4">
      <c r="A34" s="1"/>
      <c r="C34" s="15"/>
      <c r="E34" s="15"/>
    </row>
    <row r="35" spans="1:15" x14ac:dyDescent="0.4">
      <c r="A35" s="29" t="s">
        <v>72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17">
        <v>6</v>
      </c>
    </row>
    <row r="36" spans="1:15" x14ac:dyDescent="0.4">
      <c r="A36" s="3" t="s">
        <v>73</v>
      </c>
      <c r="B36" t="s">
        <v>74</v>
      </c>
      <c r="C36" s="19">
        <v>6.49</v>
      </c>
      <c r="D36" s="20" t="s">
        <v>223</v>
      </c>
      <c r="E36" s="19">
        <v>6.49</v>
      </c>
      <c r="F36" s="14" t="s">
        <v>250</v>
      </c>
      <c r="G36" s="2"/>
      <c r="H36" s="2"/>
      <c r="I36" s="2"/>
      <c r="J36" s="2"/>
      <c r="K36" s="2"/>
      <c r="L36" s="2"/>
      <c r="M36" s="2"/>
      <c r="N36" s="2"/>
    </row>
    <row r="37" spans="1:15" x14ac:dyDescent="0.4">
      <c r="A37" s="3" t="s">
        <v>76</v>
      </c>
      <c r="B37" s="18">
        <v>1</v>
      </c>
      <c r="C37" s="19">
        <v>1.19</v>
      </c>
      <c r="D37" s="20" t="s">
        <v>77</v>
      </c>
      <c r="E37" s="19">
        <v>1.19</v>
      </c>
      <c r="F37" s="14" t="s">
        <v>251</v>
      </c>
      <c r="G37" s="19"/>
      <c r="H37" s="14"/>
      <c r="I37" s="2"/>
      <c r="J37" s="2"/>
      <c r="K37" s="2"/>
      <c r="L37" s="2"/>
      <c r="M37" s="2"/>
      <c r="N37" s="2"/>
    </row>
    <row r="38" spans="1:15" x14ac:dyDescent="0.4">
      <c r="A38" t="s">
        <v>79</v>
      </c>
      <c r="B38" t="s">
        <v>64</v>
      </c>
      <c r="C38" s="19"/>
      <c r="D38" s="20"/>
      <c r="E38" s="19"/>
      <c r="F38" s="14"/>
      <c r="G38" s="2"/>
      <c r="H38" s="2"/>
      <c r="I38" s="2"/>
      <c r="J38" s="2"/>
      <c r="K38" s="2"/>
      <c r="L38" s="2"/>
      <c r="M38" s="2"/>
      <c r="N38" s="2"/>
    </row>
    <row r="39" spans="1:15" x14ac:dyDescent="0.4">
      <c r="A39" t="s">
        <v>82</v>
      </c>
      <c r="B39" t="s">
        <v>83</v>
      </c>
      <c r="C39" s="19">
        <v>1.19</v>
      </c>
      <c r="D39" s="20" t="s">
        <v>83</v>
      </c>
      <c r="E39" s="19">
        <v>1.19</v>
      </c>
      <c r="F39" s="14" t="s">
        <v>252</v>
      </c>
      <c r="G39" s="2"/>
      <c r="H39" s="2"/>
      <c r="I39" s="2"/>
      <c r="J39" s="2"/>
      <c r="K39" s="2"/>
      <c r="L39" s="2"/>
      <c r="M39" s="2"/>
      <c r="N39" s="2"/>
    </row>
    <row r="40" spans="1:15" x14ac:dyDescent="0.4">
      <c r="A40" t="s">
        <v>230</v>
      </c>
      <c r="B40" t="s">
        <v>64</v>
      </c>
      <c r="C40" s="19">
        <v>1.19</v>
      </c>
      <c r="D40" t="s">
        <v>253</v>
      </c>
      <c r="E40" s="19">
        <v>1.19</v>
      </c>
      <c r="F40" s="14" t="s">
        <v>254</v>
      </c>
    </row>
    <row r="41" spans="1:15" x14ac:dyDescent="0.4">
      <c r="A41" t="s">
        <v>89</v>
      </c>
      <c r="B41" t="s">
        <v>64</v>
      </c>
      <c r="C41" s="15">
        <v>0.99</v>
      </c>
      <c r="D41" t="s">
        <v>255</v>
      </c>
      <c r="E41" s="15">
        <v>0.99</v>
      </c>
      <c r="F41" s="14" t="s">
        <v>256</v>
      </c>
    </row>
    <row r="42" spans="1:15" x14ac:dyDescent="0.4">
      <c r="A42" t="s">
        <v>26</v>
      </c>
      <c r="B42" t="s">
        <v>91</v>
      </c>
      <c r="C42" s="15">
        <v>1.69</v>
      </c>
      <c r="D42" t="s">
        <v>238</v>
      </c>
      <c r="E42" s="15">
        <v>0.01</v>
      </c>
      <c r="F42" s="14" t="s">
        <v>239</v>
      </c>
    </row>
    <row r="43" spans="1:15" x14ac:dyDescent="0.4">
      <c r="A43" t="s">
        <v>66</v>
      </c>
      <c r="B43" t="s">
        <v>92</v>
      </c>
      <c r="C43" s="15">
        <v>4.29</v>
      </c>
      <c r="D43" t="s">
        <v>201</v>
      </c>
      <c r="E43" s="15">
        <v>4.29</v>
      </c>
      <c r="F43" s="14" t="s">
        <v>249</v>
      </c>
    </row>
    <row r="44" spans="1:15" x14ac:dyDescent="0.4">
      <c r="A44" t="s">
        <v>93</v>
      </c>
      <c r="B44" t="s">
        <v>94</v>
      </c>
      <c r="C44" s="15"/>
      <c r="E44" s="15"/>
      <c r="F44" s="14"/>
    </row>
    <row r="45" spans="1:15" x14ac:dyDescent="0.4">
      <c r="A45" t="s">
        <v>96</v>
      </c>
      <c r="B45" t="s">
        <v>231</v>
      </c>
      <c r="C45" s="15">
        <v>2.4900000000000002</v>
      </c>
      <c r="D45" t="s">
        <v>223</v>
      </c>
      <c r="E45" s="15">
        <v>1.25</v>
      </c>
      <c r="F45" s="14" t="s">
        <v>257</v>
      </c>
    </row>
    <row r="46" spans="1:15" x14ac:dyDescent="0.4">
      <c r="A46" s="1" t="s">
        <v>214</v>
      </c>
      <c r="C46" s="15">
        <f>SUM(C36:C45)</f>
        <v>19.519999999999996</v>
      </c>
      <c r="E46" s="15">
        <f>SUM(E36:E45)</f>
        <v>16.599999999999998</v>
      </c>
    </row>
    <row r="47" spans="1:15" x14ac:dyDescent="0.4">
      <c r="A47" s="11" t="s">
        <v>71</v>
      </c>
      <c r="C47" s="15"/>
      <c r="E47" s="15"/>
    </row>
    <row r="48" spans="1:15" x14ac:dyDescent="0.4">
      <c r="C48" s="15"/>
      <c r="E48" s="15"/>
    </row>
    <row r="49" spans="1:15" x14ac:dyDescent="0.4">
      <c r="A49" s="29" t="s">
        <v>99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17">
        <v>4</v>
      </c>
    </row>
    <row r="50" spans="1:15" x14ac:dyDescent="0.4">
      <c r="A50" t="s">
        <v>100</v>
      </c>
      <c r="B50" t="s">
        <v>101</v>
      </c>
      <c r="C50" s="15">
        <v>5.49</v>
      </c>
      <c r="D50" t="s">
        <v>258</v>
      </c>
      <c r="E50" s="15">
        <v>2.2000000000000002</v>
      </c>
      <c r="F50" s="14" t="s">
        <v>259</v>
      </c>
    </row>
    <row r="51" spans="1:15" x14ac:dyDescent="0.4">
      <c r="A51" t="s">
        <v>103</v>
      </c>
      <c r="B51" t="s">
        <v>104</v>
      </c>
      <c r="C51" s="15">
        <v>4.49</v>
      </c>
      <c r="D51">
        <v>32</v>
      </c>
      <c r="E51" s="15">
        <v>14</v>
      </c>
      <c r="F51" s="14" t="s">
        <v>260</v>
      </c>
    </row>
    <row r="52" spans="1:15" x14ac:dyDescent="0.4">
      <c r="A52" s="3" t="s">
        <v>106</v>
      </c>
      <c r="B52" t="s">
        <v>47</v>
      </c>
      <c r="C52" s="15"/>
      <c r="E52" s="15"/>
      <c r="F52" s="14"/>
    </row>
    <row r="53" spans="1:15" x14ac:dyDescent="0.4">
      <c r="A53" s="3" t="s">
        <v>108</v>
      </c>
      <c r="B53" t="s">
        <v>109</v>
      </c>
      <c r="C53" s="15"/>
      <c r="E53" s="15"/>
      <c r="F53" s="14"/>
    </row>
    <row r="54" spans="1:15" x14ac:dyDescent="0.4">
      <c r="A54" t="s">
        <v>111</v>
      </c>
      <c r="B54" t="s">
        <v>109</v>
      </c>
      <c r="C54" s="15">
        <v>1.69</v>
      </c>
      <c r="D54" t="s">
        <v>238</v>
      </c>
      <c r="E54" s="15">
        <v>0.01</v>
      </c>
      <c r="F54" s="14" t="s">
        <v>239</v>
      </c>
    </row>
    <row r="55" spans="1:15" x14ac:dyDescent="0.4">
      <c r="A55" t="s">
        <v>113</v>
      </c>
      <c r="B55" t="s">
        <v>114</v>
      </c>
      <c r="C55" s="15"/>
      <c r="E55" s="15"/>
      <c r="F55" s="14"/>
    </row>
    <row r="56" spans="1:15" x14ac:dyDescent="0.4">
      <c r="A56" t="s">
        <v>116</v>
      </c>
      <c r="B56">
        <v>2</v>
      </c>
      <c r="C56" s="15">
        <v>5.99</v>
      </c>
      <c r="D56">
        <v>12</v>
      </c>
      <c r="E56" s="15">
        <v>1</v>
      </c>
      <c r="F56" s="14" t="s">
        <v>261</v>
      </c>
    </row>
    <row r="57" spans="1:15" x14ac:dyDescent="0.4">
      <c r="A57" t="s">
        <v>118</v>
      </c>
      <c r="B57" t="s">
        <v>119</v>
      </c>
      <c r="C57" s="15"/>
      <c r="E57" s="15"/>
      <c r="F57" s="14"/>
    </row>
    <row r="58" spans="1:15" x14ac:dyDescent="0.4">
      <c r="A58" s="1" t="s">
        <v>214</v>
      </c>
      <c r="C58" s="15">
        <f>SUM(C50:C57)</f>
        <v>17.66</v>
      </c>
      <c r="E58" s="15">
        <f>SUM(E50:E57)</f>
        <v>17.21</v>
      </c>
    </row>
    <row r="59" spans="1:15" x14ac:dyDescent="0.4">
      <c r="A59" s="13" t="s">
        <v>121</v>
      </c>
      <c r="C59" s="15"/>
      <c r="E59" s="15"/>
    </row>
    <row r="60" spans="1:15" x14ac:dyDescent="0.4">
      <c r="A60" s="11"/>
      <c r="C60" s="15"/>
      <c r="E60" s="15"/>
    </row>
    <row r="61" spans="1:15" x14ac:dyDescent="0.4">
      <c r="A61" s="29" t="s">
        <v>122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17">
        <v>2</v>
      </c>
    </row>
    <row r="62" spans="1:15" x14ac:dyDescent="0.4">
      <c r="A62" t="s">
        <v>123</v>
      </c>
      <c r="B62" t="s">
        <v>124</v>
      </c>
      <c r="C62" s="15">
        <v>2.99</v>
      </c>
      <c r="D62" t="s">
        <v>262</v>
      </c>
      <c r="E62" s="15">
        <v>2.99</v>
      </c>
      <c r="F62" s="14" t="s">
        <v>263</v>
      </c>
    </row>
    <row r="63" spans="1:15" x14ac:dyDescent="0.4">
      <c r="A63" t="s">
        <v>126</v>
      </c>
      <c r="B63" t="s">
        <v>127</v>
      </c>
      <c r="C63" s="15">
        <v>7.49</v>
      </c>
      <c r="D63" t="s">
        <v>74</v>
      </c>
      <c r="E63" s="15">
        <v>3.75</v>
      </c>
      <c r="F63" s="14" t="s">
        <v>247</v>
      </c>
    </row>
    <row r="64" spans="1:15" x14ac:dyDescent="0.4">
      <c r="A64" t="s">
        <v>134</v>
      </c>
      <c r="B64" t="s">
        <v>38</v>
      </c>
      <c r="C64" s="15">
        <v>3.99</v>
      </c>
      <c r="D64" t="s">
        <v>264</v>
      </c>
      <c r="E64" s="15">
        <v>0.99</v>
      </c>
      <c r="F64" s="14" t="s">
        <v>265</v>
      </c>
    </row>
    <row r="65" spans="1:15" x14ac:dyDescent="0.4">
      <c r="A65" s="3" t="s">
        <v>137</v>
      </c>
      <c r="B65" t="s">
        <v>138</v>
      </c>
      <c r="C65" s="15">
        <v>3.99</v>
      </c>
      <c r="D65" t="s">
        <v>266</v>
      </c>
      <c r="E65" s="15">
        <v>1.5</v>
      </c>
      <c r="F65" s="14" t="s">
        <v>267</v>
      </c>
    </row>
    <row r="66" spans="1:15" x14ac:dyDescent="0.4">
      <c r="A66" t="s">
        <v>140</v>
      </c>
      <c r="B66" t="s">
        <v>22</v>
      </c>
      <c r="C66" s="15">
        <v>3.99</v>
      </c>
      <c r="D66" t="s">
        <v>268</v>
      </c>
      <c r="E66" s="15">
        <v>0.36</v>
      </c>
      <c r="F66" s="14" t="s">
        <v>269</v>
      </c>
    </row>
    <row r="67" spans="1:15" x14ac:dyDescent="0.4">
      <c r="A67" s="1" t="s">
        <v>214</v>
      </c>
      <c r="C67" s="15">
        <f>SUM(C61:C66)</f>
        <v>22.450000000000003</v>
      </c>
      <c r="E67" s="15">
        <f>SUM(E61:E66)</f>
        <v>9.59</v>
      </c>
    </row>
    <row r="68" spans="1:15" x14ac:dyDescent="0.4">
      <c r="A68" s="13" t="s">
        <v>142</v>
      </c>
      <c r="C68" s="15"/>
      <c r="E68" s="15"/>
    </row>
    <row r="69" spans="1:15" x14ac:dyDescent="0.4">
      <c r="A69" s="11"/>
      <c r="C69" s="15"/>
      <c r="E69" s="15"/>
    </row>
    <row r="70" spans="1:15" x14ac:dyDescent="0.4">
      <c r="A70" s="29" t="s">
        <v>143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17">
        <v>4</v>
      </c>
    </row>
    <row r="71" spans="1:15" x14ac:dyDescent="0.4">
      <c r="A71" t="s">
        <v>144</v>
      </c>
      <c r="B71">
        <v>3</v>
      </c>
      <c r="C71" s="15">
        <v>4.99</v>
      </c>
      <c r="D71">
        <v>3</v>
      </c>
      <c r="E71" s="15">
        <v>4.99</v>
      </c>
      <c r="F71" s="14" t="s">
        <v>270</v>
      </c>
    </row>
    <row r="72" spans="1:15" x14ac:dyDescent="0.4">
      <c r="A72" t="s">
        <v>145</v>
      </c>
      <c r="B72">
        <v>1</v>
      </c>
      <c r="C72" s="19">
        <v>1.19</v>
      </c>
      <c r="D72" s="20" t="s">
        <v>77</v>
      </c>
      <c r="E72" s="19">
        <v>1.19</v>
      </c>
      <c r="F72" s="14" t="s">
        <v>251</v>
      </c>
    </row>
    <row r="73" spans="1:15" x14ac:dyDescent="0.4">
      <c r="A73" t="s">
        <v>146</v>
      </c>
      <c r="B73">
        <v>1</v>
      </c>
      <c r="C73" s="15"/>
      <c r="E73" s="15"/>
      <c r="F73" s="14"/>
    </row>
    <row r="74" spans="1:15" x14ac:dyDescent="0.4">
      <c r="A74" t="s">
        <v>147</v>
      </c>
      <c r="B74" t="s">
        <v>148</v>
      </c>
      <c r="C74" s="15">
        <v>9.99</v>
      </c>
      <c r="D74" t="s">
        <v>207</v>
      </c>
      <c r="E74" s="15">
        <v>0.3</v>
      </c>
      <c r="F74" s="14" t="s">
        <v>237</v>
      </c>
    </row>
    <row r="75" spans="1:15" x14ac:dyDescent="0.4">
      <c r="A75" t="s">
        <v>73</v>
      </c>
      <c r="B75" t="s">
        <v>149</v>
      </c>
      <c r="C75" s="19">
        <v>6.49</v>
      </c>
      <c r="D75" s="20" t="s">
        <v>223</v>
      </c>
      <c r="E75" s="19">
        <v>6.49</v>
      </c>
      <c r="F75" s="14" t="s">
        <v>250</v>
      </c>
    </row>
    <row r="76" spans="1:15" x14ac:dyDescent="0.4">
      <c r="A76" t="s">
        <v>150</v>
      </c>
      <c r="B76" t="s">
        <v>101</v>
      </c>
      <c r="C76" s="15"/>
      <c r="E76" s="15"/>
      <c r="F76" s="14"/>
    </row>
    <row r="77" spans="1:15" x14ac:dyDescent="0.4">
      <c r="A77" t="s">
        <v>151</v>
      </c>
      <c r="B77" t="s">
        <v>17</v>
      </c>
      <c r="C77" s="15">
        <v>3.99</v>
      </c>
      <c r="D77" t="s">
        <v>271</v>
      </c>
      <c r="E77" s="15">
        <v>0.67</v>
      </c>
      <c r="F77" s="14" t="s">
        <v>272</v>
      </c>
    </row>
    <row r="78" spans="1:15" x14ac:dyDescent="0.4">
      <c r="A78" t="s">
        <v>152</v>
      </c>
      <c r="B78" t="s">
        <v>68</v>
      </c>
      <c r="C78" s="15"/>
      <c r="E78" s="15"/>
      <c r="F78" s="14"/>
    </row>
    <row r="79" spans="1:15" x14ac:dyDescent="0.4">
      <c r="A79" t="s">
        <v>111</v>
      </c>
      <c r="B79" t="s">
        <v>68</v>
      </c>
      <c r="C79" s="15">
        <v>1.69</v>
      </c>
      <c r="D79" t="s">
        <v>238</v>
      </c>
      <c r="E79" s="15">
        <v>0.01</v>
      </c>
      <c r="F79" s="14" t="s">
        <v>239</v>
      </c>
    </row>
    <row r="80" spans="1:15" x14ac:dyDescent="0.4">
      <c r="A80" t="s">
        <v>153</v>
      </c>
      <c r="B80" t="s">
        <v>148</v>
      </c>
      <c r="C80" s="15"/>
      <c r="E80" s="15"/>
      <c r="F80" t="s">
        <v>69</v>
      </c>
    </row>
    <row r="81" spans="1:15" x14ac:dyDescent="0.4">
      <c r="A81" t="s">
        <v>154</v>
      </c>
      <c r="B81" t="s">
        <v>68</v>
      </c>
      <c r="C81" s="15"/>
      <c r="E81" s="15"/>
      <c r="F81" s="14"/>
    </row>
    <row r="82" spans="1:15" x14ac:dyDescent="0.4">
      <c r="A82" t="s">
        <v>155</v>
      </c>
      <c r="B82" t="s">
        <v>68</v>
      </c>
      <c r="C82" s="15"/>
      <c r="E82" s="15"/>
      <c r="F82" s="14"/>
    </row>
    <row r="83" spans="1:15" x14ac:dyDescent="0.4">
      <c r="A83" s="1" t="s">
        <v>214</v>
      </c>
      <c r="C83" s="15">
        <f>SUM(C71:C82)</f>
        <v>28.340000000000007</v>
      </c>
      <c r="E83" s="15">
        <f>SUM(E71:E82)</f>
        <v>13.649999999999999</v>
      </c>
    </row>
    <row r="84" spans="1:15" x14ac:dyDescent="0.4">
      <c r="A84" s="11" t="s">
        <v>71</v>
      </c>
      <c r="C84" s="15"/>
      <c r="E84" s="15"/>
    </row>
    <row r="85" spans="1:15" x14ac:dyDescent="0.4">
      <c r="C85" s="15"/>
      <c r="E85" s="15"/>
    </row>
    <row r="86" spans="1:15" x14ac:dyDescent="0.4">
      <c r="A86" s="29" t="s">
        <v>194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17">
        <v>4</v>
      </c>
    </row>
    <row r="87" spans="1:15" x14ac:dyDescent="0.4">
      <c r="A87" t="s">
        <v>73</v>
      </c>
      <c r="B87" t="s">
        <v>149</v>
      </c>
      <c r="C87" s="19">
        <v>6.49</v>
      </c>
      <c r="D87" s="20" t="s">
        <v>223</v>
      </c>
      <c r="E87" s="19">
        <v>6.49</v>
      </c>
      <c r="F87" s="14" t="s">
        <v>250</v>
      </c>
    </row>
    <row r="88" spans="1:15" x14ac:dyDescent="0.4">
      <c r="A88" t="s">
        <v>145</v>
      </c>
      <c r="B88" s="9">
        <v>0.5</v>
      </c>
      <c r="C88" s="19">
        <v>1.19</v>
      </c>
      <c r="D88" s="20" t="s">
        <v>77</v>
      </c>
      <c r="E88" s="19">
        <v>0.75</v>
      </c>
      <c r="F88" s="14" t="s">
        <v>251</v>
      </c>
    </row>
    <row r="89" spans="1:15" x14ac:dyDescent="0.4">
      <c r="A89" t="s">
        <v>157</v>
      </c>
      <c r="B89" s="8" t="s">
        <v>17</v>
      </c>
      <c r="C89" s="15">
        <v>2.99</v>
      </c>
      <c r="D89" t="s">
        <v>273</v>
      </c>
      <c r="E89" s="15">
        <v>2.39</v>
      </c>
      <c r="F89" s="14" t="s">
        <v>274</v>
      </c>
    </row>
    <row r="90" spans="1:15" x14ac:dyDescent="0.4">
      <c r="A90" t="s">
        <v>158</v>
      </c>
      <c r="B90">
        <v>1</v>
      </c>
      <c r="C90" s="15">
        <v>5.99</v>
      </c>
      <c r="D90">
        <v>12</v>
      </c>
      <c r="E90" s="15">
        <v>0.5</v>
      </c>
      <c r="F90" s="14" t="s">
        <v>261</v>
      </c>
    </row>
    <row r="91" spans="1:15" x14ac:dyDescent="0.4">
      <c r="A91" t="s">
        <v>232</v>
      </c>
      <c r="B91" t="s">
        <v>38</v>
      </c>
      <c r="C91" s="15"/>
      <c r="E91" s="15"/>
      <c r="F91" t="s">
        <v>69</v>
      </c>
    </row>
    <row r="92" spans="1:15" x14ac:dyDescent="0.4">
      <c r="A92" t="s">
        <v>26</v>
      </c>
      <c r="B92" t="s">
        <v>68</v>
      </c>
      <c r="C92" s="15">
        <v>1.69</v>
      </c>
      <c r="D92" t="s">
        <v>238</v>
      </c>
      <c r="E92" s="15">
        <v>0.01</v>
      </c>
      <c r="F92" s="14" t="s">
        <v>239</v>
      </c>
    </row>
    <row r="93" spans="1:15" x14ac:dyDescent="0.4">
      <c r="A93" t="s">
        <v>147</v>
      </c>
      <c r="B93" t="s">
        <v>148</v>
      </c>
      <c r="C93" s="15">
        <v>9.99</v>
      </c>
      <c r="D93" t="s">
        <v>207</v>
      </c>
      <c r="E93" s="15">
        <v>0.3</v>
      </c>
      <c r="F93" s="14" t="s">
        <v>237</v>
      </c>
    </row>
    <row r="94" spans="1:15" x14ac:dyDescent="0.4">
      <c r="A94" s="1" t="s">
        <v>214</v>
      </c>
      <c r="C94" s="15">
        <f>SUM(C87:C93)</f>
        <v>28.340000000000003</v>
      </c>
      <c r="E94" s="15">
        <f>SUM(E87:E93)</f>
        <v>10.440000000000001</v>
      </c>
    </row>
    <row r="95" spans="1:15" x14ac:dyDescent="0.4">
      <c r="A95" s="11" t="s">
        <v>71</v>
      </c>
      <c r="C95" s="15"/>
      <c r="E95" s="15"/>
    </row>
    <row r="96" spans="1:15" x14ac:dyDescent="0.4">
      <c r="C96" s="15"/>
      <c r="E96" s="15"/>
    </row>
    <row r="97" spans="1:15" x14ac:dyDescent="0.4">
      <c r="A97" s="29" t="s">
        <v>159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17">
        <v>4</v>
      </c>
    </row>
    <row r="98" spans="1:15" x14ac:dyDescent="0.4">
      <c r="A98" t="s">
        <v>73</v>
      </c>
      <c r="B98" t="s">
        <v>160</v>
      </c>
      <c r="C98" s="19">
        <v>6.49</v>
      </c>
      <c r="D98" s="20" t="s">
        <v>223</v>
      </c>
      <c r="E98" s="19">
        <v>3.25</v>
      </c>
      <c r="F98" s="14" t="s">
        <v>250</v>
      </c>
    </row>
    <row r="99" spans="1:15" x14ac:dyDescent="0.4">
      <c r="A99" t="s">
        <v>161</v>
      </c>
      <c r="B99" t="s">
        <v>17</v>
      </c>
      <c r="C99" s="15">
        <v>3.99</v>
      </c>
      <c r="D99" t="s">
        <v>271</v>
      </c>
      <c r="E99" s="15">
        <v>0.67</v>
      </c>
      <c r="F99" s="14" t="s">
        <v>272</v>
      </c>
    </row>
    <row r="100" spans="1:15" x14ac:dyDescent="0.4">
      <c r="A100" t="s">
        <v>162</v>
      </c>
      <c r="B100">
        <v>2</v>
      </c>
      <c r="C100" s="15">
        <v>3.99</v>
      </c>
      <c r="D100" t="s">
        <v>275</v>
      </c>
      <c r="E100" s="15">
        <v>1.99</v>
      </c>
      <c r="F100" s="14" t="s">
        <v>276</v>
      </c>
    </row>
    <row r="101" spans="1:15" x14ac:dyDescent="0.4">
      <c r="A101" t="s">
        <v>163</v>
      </c>
      <c r="B101" t="s">
        <v>17</v>
      </c>
      <c r="C101" s="15">
        <v>4.29</v>
      </c>
      <c r="D101" t="s">
        <v>201</v>
      </c>
      <c r="E101" s="15">
        <v>2.86</v>
      </c>
      <c r="F101" s="14" t="s">
        <v>249</v>
      </c>
    </row>
    <row r="102" spans="1:15" x14ac:dyDescent="0.4">
      <c r="A102" t="s">
        <v>158</v>
      </c>
      <c r="B102">
        <v>2</v>
      </c>
      <c r="C102" s="15">
        <v>5.99</v>
      </c>
      <c r="D102">
        <v>12</v>
      </c>
      <c r="E102" s="15">
        <v>1</v>
      </c>
      <c r="F102" s="14" t="s">
        <v>261</v>
      </c>
    </row>
    <row r="103" spans="1:15" x14ac:dyDescent="0.4">
      <c r="A103" t="s">
        <v>164</v>
      </c>
      <c r="B103">
        <v>4</v>
      </c>
      <c r="C103" s="15">
        <v>2.99</v>
      </c>
      <c r="D103" t="s">
        <v>245</v>
      </c>
      <c r="E103" s="15">
        <v>0.99</v>
      </c>
      <c r="F103" s="14" t="s">
        <v>246</v>
      </c>
    </row>
    <row r="104" spans="1:15" x14ac:dyDescent="0.4">
      <c r="A104" t="s">
        <v>147</v>
      </c>
      <c r="B104" t="s">
        <v>22</v>
      </c>
      <c r="C104" s="15">
        <v>9.99</v>
      </c>
      <c r="D104" t="s">
        <v>207</v>
      </c>
      <c r="E104" s="15">
        <v>0.3</v>
      </c>
      <c r="F104" s="14" t="s">
        <v>237</v>
      </c>
    </row>
    <row r="105" spans="1:15" x14ac:dyDescent="0.4">
      <c r="A105" s="1" t="s">
        <v>214</v>
      </c>
      <c r="C105" s="15">
        <f>SUM(C98:C104)</f>
        <v>37.730000000000004</v>
      </c>
      <c r="E105" s="15">
        <f>SUM(E98:E104)</f>
        <v>11.06</v>
      </c>
    </row>
    <row r="106" spans="1:15" x14ac:dyDescent="0.4">
      <c r="A106" s="11" t="s">
        <v>71</v>
      </c>
      <c r="C106" s="15"/>
      <c r="E106" s="15"/>
    </row>
    <row r="107" spans="1:15" x14ac:dyDescent="0.4">
      <c r="C107" s="15"/>
      <c r="E107" s="15"/>
    </row>
    <row r="108" spans="1:15" x14ac:dyDescent="0.4">
      <c r="A108" s="29" t="s">
        <v>165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17">
        <v>1</v>
      </c>
    </row>
    <row r="109" spans="1:15" x14ac:dyDescent="0.4">
      <c r="A109" t="s">
        <v>166</v>
      </c>
      <c r="B109" t="s">
        <v>167</v>
      </c>
      <c r="C109" s="15">
        <v>3.49</v>
      </c>
      <c r="D109" t="s">
        <v>277</v>
      </c>
      <c r="E109" s="15">
        <v>0.57999999999999996</v>
      </c>
      <c r="F109" s="14" t="s">
        <v>278</v>
      </c>
    </row>
    <row r="110" spans="1:15" x14ac:dyDescent="0.4">
      <c r="A110" t="s">
        <v>168</v>
      </c>
      <c r="B110" t="s">
        <v>169</v>
      </c>
      <c r="C110" s="15">
        <v>4.99</v>
      </c>
      <c r="E110" s="15"/>
      <c r="F110" s="14" t="s">
        <v>279</v>
      </c>
    </row>
    <row r="111" spans="1:15" x14ac:dyDescent="0.4">
      <c r="A111" t="s">
        <v>170</v>
      </c>
      <c r="B111" t="s">
        <v>68</v>
      </c>
      <c r="C111" s="15">
        <v>3.79</v>
      </c>
      <c r="D111" t="s">
        <v>223</v>
      </c>
      <c r="E111" s="15">
        <v>0.05</v>
      </c>
      <c r="F111" s="14" t="s">
        <v>280</v>
      </c>
    </row>
    <row r="112" spans="1:15" x14ac:dyDescent="0.4">
      <c r="A112" t="s">
        <v>171</v>
      </c>
      <c r="B112" t="s">
        <v>172</v>
      </c>
      <c r="C112" s="15">
        <v>2.29</v>
      </c>
      <c r="D112" t="s">
        <v>281</v>
      </c>
      <c r="E112" s="15">
        <v>0.01</v>
      </c>
      <c r="F112" s="14" t="s">
        <v>282</v>
      </c>
    </row>
    <row r="113" spans="1:6" x14ac:dyDescent="0.4">
      <c r="A113" t="s">
        <v>162</v>
      </c>
      <c r="B113" s="8" t="s">
        <v>173</v>
      </c>
      <c r="C113" s="15">
        <v>3.99</v>
      </c>
      <c r="D113" t="s">
        <v>275</v>
      </c>
      <c r="E113" s="15">
        <v>0.5</v>
      </c>
      <c r="F113" s="14" t="s">
        <v>276</v>
      </c>
    </row>
    <row r="114" spans="1:6" x14ac:dyDescent="0.4">
      <c r="A114" t="s">
        <v>174</v>
      </c>
      <c r="B114" t="s">
        <v>175</v>
      </c>
      <c r="C114" s="15">
        <v>2.99</v>
      </c>
      <c r="D114" t="s">
        <v>262</v>
      </c>
      <c r="E114" s="15">
        <v>1</v>
      </c>
      <c r="F114" s="14" t="s">
        <v>263</v>
      </c>
    </row>
    <row r="115" spans="1:6" x14ac:dyDescent="0.4">
      <c r="A115" t="s">
        <v>176</v>
      </c>
      <c r="B115" t="s">
        <v>167</v>
      </c>
      <c r="C115" s="15"/>
      <c r="E115" s="15"/>
      <c r="F115" s="14"/>
    </row>
    <row r="116" spans="1:6" x14ac:dyDescent="0.4">
      <c r="A116" t="s">
        <v>177</v>
      </c>
      <c r="B116" t="s">
        <v>173</v>
      </c>
      <c r="C116" s="15"/>
      <c r="E116" s="15"/>
      <c r="F116" s="14"/>
    </row>
    <row r="117" spans="1:6" x14ac:dyDescent="0.4">
      <c r="A117" t="s">
        <v>178</v>
      </c>
      <c r="B117" t="s">
        <v>179</v>
      </c>
      <c r="C117" s="15"/>
      <c r="E117" s="15"/>
      <c r="F117" s="14"/>
    </row>
    <row r="118" spans="1:6" x14ac:dyDescent="0.4">
      <c r="A118" t="s">
        <v>180</v>
      </c>
      <c r="B118" t="s">
        <v>38</v>
      </c>
      <c r="C118" s="15"/>
      <c r="E118" s="15"/>
      <c r="F118" s="14"/>
    </row>
    <row r="119" spans="1:6" x14ac:dyDescent="0.4">
      <c r="A119" t="s">
        <v>26</v>
      </c>
      <c r="B119" t="s">
        <v>182</v>
      </c>
      <c r="C119" s="15">
        <v>1.69</v>
      </c>
      <c r="D119" t="s">
        <v>238</v>
      </c>
      <c r="E119" s="15">
        <v>0.01</v>
      </c>
      <c r="F119" s="14" t="s">
        <v>239</v>
      </c>
    </row>
    <row r="120" spans="1:6" x14ac:dyDescent="0.4">
      <c r="A120" s="1" t="s">
        <v>214</v>
      </c>
      <c r="C120" s="15">
        <f>SUM(C109:C119)</f>
        <v>23.23</v>
      </c>
      <c r="E120" s="15">
        <f>SUM(E109:E119)</f>
        <v>2.15</v>
      </c>
    </row>
    <row r="121" spans="1:6" x14ac:dyDescent="0.4">
      <c r="A121" s="11" t="s">
        <v>71</v>
      </c>
      <c r="C121" s="15"/>
      <c r="E121" s="15"/>
    </row>
    <row r="122" spans="1:6" x14ac:dyDescent="0.4">
      <c r="C122" s="15"/>
      <c r="E122" s="15"/>
    </row>
  </sheetData>
  <mergeCells count="10">
    <mergeCell ref="A97:N97"/>
    <mergeCell ref="A108:N108"/>
    <mergeCell ref="A3:N3"/>
    <mergeCell ref="A14:N14"/>
    <mergeCell ref="A24:N24"/>
    <mergeCell ref="A35:N35"/>
    <mergeCell ref="A49:N49"/>
    <mergeCell ref="A61:N61"/>
    <mergeCell ref="A70:N70"/>
    <mergeCell ref="A86:N86"/>
  </mergeCells>
  <hyperlinks>
    <hyperlink ref="F4" r:id="rId1" xr:uid="{01FD9815-F4E7-439C-B1AB-5CE82264B721}"/>
    <hyperlink ref="F5" r:id="rId2" xr:uid="{C5340980-EBB1-4CEB-B19C-6E78B53916C0}"/>
    <hyperlink ref="F6" r:id="rId3" xr:uid="{3F513B4D-4719-4297-8657-7AD59C041FAB}"/>
    <hyperlink ref="F7" r:id="rId4" xr:uid="{22ED157D-C514-433B-836E-D58AA7936912}"/>
    <hyperlink ref="F8" r:id="rId5" xr:uid="{DA8206E9-D202-4EB6-9ED2-C803FB80E8A0}"/>
    <hyperlink ref="F10" r:id="rId6" xr:uid="{EF01983B-4A24-4DD8-8AF5-300080700E09}"/>
    <hyperlink ref="F15" r:id="rId7" xr:uid="{77DC9738-090C-43BD-824E-C3BB726D9A0B}"/>
    <hyperlink ref="F16" r:id="rId8" xr:uid="{7A933B4E-E526-4930-A399-5E1EE615039D}"/>
    <hyperlink ref="F19" r:id="rId9" xr:uid="{B5B1684C-677B-47F9-8736-4F915B7899CB}"/>
    <hyperlink ref="F25" r:id="rId10" xr:uid="{68D953EE-B9E7-486A-BA53-798DAF2779F3}"/>
    <hyperlink ref="F27" r:id="rId11" xr:uid="{ACC7E1A4-842D-4BB2-ABFC-ECCD3B048741}"/>
    <hyperlink ref="F28" r:id="rId12" xr:uid="{96F9EAF4-4C3F-436D-BD25-A73E0408684C}"/>
    <hyperlink ref="F29" r:id="rId13" xr:uid="{EB6B1ED5-AF7E-408D-B708-56F9719A90AB}"/>
    <hyperlink ref="F30" r:id="rId14" xr:uid="{0215DBA8-436F-45D6-A3DF-B14CE2799F29}"/>
    <hyperlink ref="F31" r:id="rId15" xr:uid="{522ACE29-315B-44BE-B482-1A030087C57E}"/>
    <hyperlink ref="F74" r:id="rId16" xr:uid="{2133DF9D-72F8-4F65-B639-A2F8F84C72DF}"/>
    <hyperlink ref="F93" r:id="rId17" xr:uid="{08A5D11A-845A-48DA-9821-228CDA3E38B5}"/>
    <hyperlink ref="F104" r:id="rId18" xr:uid="{2DA34260-972D-4A5C-8AE7-7A0AC7D839BC}"/>
    <hyperlink ref="F42" r:id="rId19" xr:uid="{A1976738-8BFF-4585-8952-DE26F32B1F74}"/>
    <hyperlink ref="F54" r:id="rId20" xr:uid="{9A2F351B-E56C-4B3F-9C26-AEDD5B50CF42}"/>
    <hyperlink ref="F79" r:id="rId21" xr:uid="{8CBD15C6-A117-4278-970F-41A8E5C20571}"/>
    <hyperlink ref="F92" r:id="rId22" xr:uid="{902416AC-CB4E-4248-9064-D7DEC2B6A2C6}"/>
    <hyperlink ref="F119" r:id="rId23" xr:uid="{69A774F9-41DB-4EE1-B7F6-506D722EE02C}"/>
    <hyperlink ref="F36" r:id="rId24" xr:uid="{F6FA3D83-43BB-4CCD-81D7-F1B0A2B9A75D}"/>
    <hyperlink ref="F75" r:id="rId25" xr:uid="{D4B5475C-681B-40DC-A3B6-71975A7DFC10}"/>
    <hyperlink ref="F87" r:id="rId26" xr:uid="{F9ABD62D-FC4A-4AE4-93A0-F7D46E862195}"/>
    <hyperlink ref="F98" r:id="rId27" xr:uid="{3E69C541-05FF-44CC-A2C3-416A34B6B501}"/>
    <hyperlink ref="F37" r:id="rId28" xr:uid="{55711D1A-7AE0-441F-88F5-05654A0C4810}"/>
    <hyperlink ref="F39" r:id="rId29" xr:uid="{258FDA08-549C-40C6-B37F-CB8FF1AC636B}"/>
    <hyperlink ref="F40" r:id="rId30" xr:uid="{D251C446-BE72-4741-BE77-D4263A49D918}"/>
    <hyperlink ref="F41" r:id="rId31" xr:uid="{FE7012CE-4EBB-4998-8874-C06A5673045A}"/>
    <hyperlink ref="F43" r:id="rId32" xr:uid="{255C17AC-DDDC-432F-8075-4851D1FBCDC6}"/>
    <hyperlink ref="F45" r:id="rId33" xr:uid="{DD4B00E2-5737-445E-BAE0-174FF0FA584E}"/>
    <hyperlink ref="F77" r:id="rId34" xr:uid="{5F6CA710-D52E-45DB-AF90-E9C98F2480AC}"/>
    <hyperlink ref="F99" r:id="rId35" xr:uid="{0C6FAF5D-CB28-45D0-8FE8-8D1E81202187}"/>
    <hyperlink ref="F56" r:id="rId36" xr:uid="{1D03E9A1-DAF7-447A-9825-12D08069896D}"/>
    <hyperlink ref="F90" r:id="rId37" xr:uid="{10412B0C-A83D-4F0C-B58F-5A4396590013}"/>
    <hyperlink ref="F102" r:id="rId38" xr:uid="{A77593D5-69D1-4797-BE02-28165A6C34D8}"/>
    <hyperlink ref="F50" r:id="rId39" xr:uid="{56CB1052-7605-49AC-B1AA-C29E71371B28}"/>
    <hyperlink ref="F51" r:id="rId40" xr:uid="{150E8FAB-65D2-4EE0-AD6D-545BB700935E}"/>
    <hyperlink ref="F62" r:id="rId41" xr:uid="{17FDFB77-E0BE-44C5-9A78-D34EFF8F71BB}"/>
    <hyperlink ref="F63" r:id="rId42" xr:uid="{F5BD59C9-EDFE-4A80-BAF1-8092AEA98DFE}"/>
    <hyperlink ref="F64" r:id="rId43" xr:uid="{43E75EB4-3FC3-4468-8CE0-0476F55D699F}"/>
    <hyperlink ref="F65" r:id="rId44" xr:uid="{298713AA-8588-4B7B-AA9E-ADA60F43A8FB}"/>
    <hyperlink ref="F66" r:id="rId45" xr:uid="{71004330-A73A-413D-8F89-97B6C428B572}"/>
    <hyperlink ref="F71" r:id="rId46" xr:uid="{69675FF4-6149-4664-94C9-07EBA8FCCF35}"/>
    <hyperlink ref="F72" r:id="rId47" xr:uid="{C10C948A-5353-4BA2-9116-7500D8EB65E2}"/>
    <hyperlink ref="F88" r:id="rId48" xr:uid="{4BE4BC73-18AE-4756-A3C5-30FDD8C3D419}"/>
    <hyperlink ref="F89" r:id="rId49" xr:uid="{B19A7EAC-0BBC-494B-ABB8-4074373A3A82}"/>
    <hyperlink ref="F101" r:id="rId50" xr:uid="{D7E96C27-B4BA-4D25-B452-F9307ABF0388}"/>
    <hyperlink ref="F103" r:id="rId51" xr:uid="{5C8F9179-7B6B-45C8-9383-29DF03FF6A9F}"/>
    <hyperlink ref="F109" r:id="rId52" xr:uid="{308FEEB4-5B2B-4A02-AAA6-0821A251F891}"/>
    <hyperlink ref="F110" r:id="rId53" xr:uid="{7EF41A71-2251-4B69-B6AD-E2CFCBD0C952}"/>
    <hyperlink ref="F111" r:id="rId54" xr:uid="{DF90C13B-B4C2-4E14-9A36-4044479F7DFC}"/>
    <hyperlink ref="F112" r:id="rId55" xr:uid="{2C708AE2-DD5B-4438-97E9-90E91D5566C9}"/>
    <hyperlink ref="F113" r:id="rId56" xr:uid="{437A34F6-CE92-4F97-9EE1-52D9A78D59AA}"/>
    <hyperlink ref="F100" r:id="rId57" xr:uid="{FDB9567C-026A-4CB6-976A-7ACD426AA49B}"/>
    <hyperlink ref="F114" r:id="rId58" xr:uid="{63BA47DB-75F9-4730-AF54-55D127F7942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00BC-B12A-47DC-90C0-ECDCD42A63DC}">
  <dimension ref="A1:Q122"/>
  <sheetViews>
    <sheetView topLeftCell="A95" workbookViewId="0">
      <selection activeCell="E15" sqref="E15"/>
    </sheetView>
  </sheetViews>
  <sheetFormatPr defaultRowHeight="14.6" x14ac:dyDescent="0.4"/>
  <cols>
    <col min="1" max="1" width="27.69140625" customWidth="1"/>
    <col min="2" max="2" width="16.84375" bestFit="1" customWidth="1"/>
    <col min="3" max="3" width="8.15234375" bestFit="1" customWidth="1"/>
    <col min="4" max="4" width="15.69140625" bestFit="1" customWidth="1"/>
    <col min="5" max="5" width="11.53515625" bestFit="1" customWidth="1"/>
  </cols>
  <sheetData>
    <row r="1" spans="1:17" x14ac:dyDescent="0.4">
      <c r="A1" s="6" t="s">
        <v>0</v>
      </c>
      <c r="B1" s="7" t="s">
        <v>195</v>
      </c>
      <c r="C1" s="16" t="s">
        <v>196</v>
      </c>
      <c r="D1" s="6" t="s">
        <v>197</v>
      </c>
      <c r="E1" s="16" t="s">
        <v>198</v>
      </c>
      <c r="F1" s="6" t="s">
        <v>8</v>
      </c>
      <c r="G1" s="6"/>
      <c r="H1" s="6"/>
      <c r="I1" s="6"/>
      <c r="J1" s="6"/>
      <c r="K1" s="6"/>
      <c r="L1" s="6"/>
      <c r="M1" s="6"/>
      <c r="N1" s="6"/>
      <c r="O1" s="6"/>
      <c r="P1" s="1"/>
      <c r="Q1" s="1"/>
    </row>
    <row r="2" spans="1:17" x14ac:dyDescent="0.4">
      <c r="A2" s="1"/>
      <c r="C2" s="15"/>
      <c r="E2" s="15"/>
    </row>
    <row r="3" spans="1:17" x14ac:dyDescent="0.4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7">
        <v>6</v>
      </c>
    </row>
    <row r="4" spans="1:17" x14ac:dyDescent="0.4">
      <c r="A4" t="s">
        <v>11</v>
      </c>
      <c r="B4" t="s">
        <v>12</v>
      </c>
      <c r="C4" s="15">
        <v>2.99</v>
      </c>
      <c r="D4" t="s">
        <v>283</v>
      </c>
      <c r="E4" s="15">
        <v>2.99</v>
      </c>
      <c r="F4" s="14" t="s">
        <v>284</v>
      </c>
    </row>
    <row r="5" spans="1:17" x14ac:dyDescent="0.4">
      <c r="A5" t="s">
        <v>15</v>
      </c>
      <c r="B5" t="s">
        <v>16</v>
      </c>
      <c r="C5" s="15">
        <v>2.89</v>
      </c>
      <c r="D5" t="s">
        <v>285</v>
      </c>
      <c r="E5" s="15">
        <v>2.89</v>
      </c>
      <c r="F5" s="14" t="s">
        <v>284</v>
      </c>
    </row>
    <row r="6" spans="1:17" x14ac:dyDescent="0.4">
      <c r="A6" t="s">
        <v>203</v>
      </c>
      <c r="B6" t="s">
        <v>204</v>
      </c>
      <c r="C6" s="15" t="s">
        <v>284</v>
      </c>
      <c r="D6" t="s">
        <v>284</v>
      </c>
      <c r="E6" s="15" t="s">
        <v>284</v>
      </c>
      <c r="F6" s="14" t="s">
        <v>284</v>
      </c>
    </row>
    <row r="7" spans="1:17" x14ac:dyDescent="0.4">
      <c r="A7" t="s">
        <v>21</v>
      </c>
      <c r="B7" t="s">
        <v>22</v>
      </c>
      <c r="C7" s="15">
        <v>8.85</v>
      </c>
      <c r="D7" t="s">
        <v>286</v>
      </c>
      <c r="E7" s="15">
        <v>0.52</v>
      </c>
      <c r="F7" s="14" t="s">
        <v>284</v>
      </c>
    </row>
    <row r="8" spans="1:17" x14ac:dyDescent="0.4">
      <c r="A8" t="s">
        <v>26</v>
      </c>
      <c r="B8" t="s">
        <v>27</v>
      </c>
      <c r="C8" s="15">
        <v>5.89</v>
      </c>
      <c r="D8" t="s">
        <v>287</v>
      </c>
      <c r="E8" s="15">
        <v>0.1</v>
      </c>
      <c r="F8" s="14" t="s">
        <v>284</v>
      </c>
    </row>
    <row r="9" spans="1:17" x14ac:dyDescent="0.4">
      <c r="A9" t="s">
        <v>30</v>
      </c>
      <c r="B9" t="s">
        <v>22</v>
      </c>
      <c r="C9" s="15">
        <v>2.89</v>
      </c>
      <c r="D9" t="s">
        <v>288</v>
      </c>
      <c r="E9" s="15">
        <v>0.49</v>
      </c>
      <c r="F9" s="14" t="s">
        <v>284</v>
      </c>
    </row>
    <row r="10" spans="1:17" x14ac:dyDescent="0.4">
      <c r="A10" t="s">
        <v>32</v>
      </c>
      <c r="B10" t="s">
        <v>33</v>
      </c>
      <c r="C10" s="15">
        <v>2.5499999999999998</v>
      </c>
      <c r="D10" t="s">
        <v>289</v>
      </c>
      <c r="E10" s="15">
        <v>1.28</v>
      </c>
      <c r="F10" s="14" t="s">
        <v>284</v>
      </c>
    </row>
    <row r="11" spans="1:17" x14ac:dyDescent="0.4">
      <c r="A11" s="1" t="s">
        <v>214</v>
      </c>
      <c r="C11" s="15">
        <f>SUM(C4:C10)</f>
        <v>26.060000000000002</v>
      </c>
      <c r="E11" s="15">
        <f>SUM(E4:E10)</f>
        <v>8.27</v>
      </c>
      <c r="F11" s="14" t="s">
        <v>284</v>
      </c>
    </row>
    <row r="12" spans="1:17" x14ac:dyDescent="0.4">
      <c r="A12" s="11" t="s">
        <v>35</v>
      </c>
      <c r="C12" s="15"/>
      <c r="E12" s="15"/>
    </row>
    <row r="13" spans="1:17" x14ac:dyDescent="0.4">
      <c r="A13" s="11"/>
      <c r="C13" s="15"/>
      <c r="E13" s="15"/>
    </row>
    <row r="14" spans="1:17" x14ac:dyDescent="0.4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17">
        <v>1</v>
      </c>
    </row>
    <row r="15" spans="1:17" x14ac:dyDescent="0.4">
      <c r="A15" t="s">
        <v>37</v>
      </c>
      <c r="B15" t="s">
        <v>38</v>
      </c>
      <c r="C15" s="15" t="s">
        <v>284</v>
      </c>
      <c r="D15" t="s">
        <v>284</v>
      </c>
      <c r="E15" s="15" t="s">
        <v>284</v>
      </c>
      <c r="F15" s="14"/>
    </row>
    <row r="16" spans="1:17" x14ac:dyDescent="0.4">
      <c r="A16" t="s">
        <v>41</v>
      </c>
      <c r="B16" t="s">
        <v>38</v>
      </c>
      <c r="C16" s="15">
        <v>8.99</v>
      </c>
      <c r="D16" t="s">
        <v>290</v>
      </c>
      <c r="E16" s="15">
        <v>0.56000000000000005</v>
      </c>
      <c r="F16" s="14" t="s">
        <v>284</v>
      </c>
    </row>
    <row r="17" spans="1:15" x14ac:dyDescent="0.4">
      <c r="A17" t="s">
        <v>43</v>
      </c>
      <c r="B17" t="s">
        <v>44</v>
      </c>
      <c r="C17" s="15">
        <v>4.79</v>
      </c>
      <c r="D17" t="s">
        <v>291</v>
      </c>
      <c r="E17" s="15">
        <v>0.1</v>
      </c>
      <c r="F17" s="14" t="s">
        <v>284</v>
      </c>
    </row>
    <row r="18" spans="1:15" x14ac:dyDescent="0.4">
      <c r="A18" t="s">
        <v>46</v>
      </c>
      <c r="B18" t="s">
        <v>47</v>
      </c>
      <c r="C18" s="15">
        <v>4.5</v>
      </c>
      <c r="D18" t="s">
        <v>292</v>
      </c>
      <c r="E18" s="15">
        <v>0.18</v>
      </c>
      <c r="F18" s="14" t="s">
        <v>284</v>
      </c>
    </row>
    <row r="19" spans="1:15" x14ac:dyDescent="0.4">
      <c r="A19" t="s">
        <v>222</v>
      </c>
      <c r="B19" t="s">
        <v>38</v>
      </c>
      <c r="C19" s="15">
        <v>4.5</v>
      </c>
      <c r="D19" t="s">
        <v>293</v>
      </c>
      <c r="E19" s="15">
        <v>0.42</v>
      </c>
      <c r="F19" s="14" t="s">
        <v>284</v>
      </c>
    </row>
    <row r="20" spans="1:15" x14ac:dyDescent="0.4">
      <c r="A20" t="s">
        <v>50</v>
      </c>
      <c r="B20" t="s">
        <v>47</v>
      </c>
      <c r="C20" s="15">
        <v>3.69</v>
      </c>
      <c r="D20" t="s">
        <v>294</v>
      </c>
      <c r="E20" s="15">
        <v>0.1</v>
      </c>
      <c r="F20" s="14" t="s">
        <v>284</v>
      </c>
    </row>
    <row r="21" spans="1:15" x14ac:dyDescent="0.4">
      <c r="A21" s="1" t="s">
        <v>214</v>
      </c>
      <c r="C21" s="15">
        <f>SUM(C15:C20)</f>
        <v>26.470000000000002</v>
      </c>
      <c r="E21" s="15">
        <f>SUM(E15:E20)</f>
        <v>1.36</v>
      </c>
    </row>
    <row r="22" spans="1:15" x14ac:dyDescent="0.4">
      <c r="A22" s="12" t="s">
        <v>52</v>
      </c>
      <c r="C22" s="15"/>
      <c r="E22" s="15"/>
    </row>
    <row r="23" spans="1:15" x14ac:dyDescent="0.4">
      <c r="A23" s="10"/>
      <c r="C23" s="15"/>
      <c r="E23" s="15"/>
    </row>
    <row r="24" spans="1:15" x14ac:dyDescent="0.4">
      <c r="A24" s="29" t="s">
        <v>53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17">
        <v>4</v>
      </c>
    </row>
    <row r="25" spans="1:15" x14ac:dyDescent="0.4">
      <c r="A25" t="s">
        <v>54</v>
      </c>
      <c r="B25">
        <v>8</v>
      </c>
      <c r="C25" s="15">
        <v>3.49</v>
      </c>
      <c r="D25" t="s">
        <v>295</v>
      </c>
      <c r="E25" s="15">
        <v>3.49</v>
      </c>
      <c r="F25" s="14" t="s">
        <v>284</v>
      </c>
    </row>
    <row r="26" spans="1:15" x14ac:dyDescent="0.4">
      <c r="A26" t="s">
        <v>56</v>
      </c>
      <c r="B26" t="s">
        <v>57</v>
      </c>
      <c r="C26" s="15">
        <v>5.75</v>
      </c>
      <c r="D26" t="s">
        <v>296</v>
      </c>
      <c r="E26" s="15">
        <v>0.19</v>
      </c>
      <c r="F26" s="14" t="s">
        <v>284</v>
      </c>
    </row>
    <row r="27" spans="1:15" x14ac:dyDescent="0.4">
      <c r="A27" s="3" t="s">
        <v>60</v>
      </c>
      <c r="B27" t="s">
        <v>61</v>
      </c>
      <c r="C27" s="15">
        <v>12.39</v>
      </c>
      <c r="D27" t="s">
        <v>297</v>
      </c>
      <c r="E27" s="15">
        <v>4.43</v>
      </c>
      <c r="F27" s="14" t="s">
        <v>284</v>
      </c>
    </row>
    <row r="28" spans="1:15" x14ac:dyDescent="0.4">
      <c r="A28" t="s">
        <v>63</v>
      </c>
      <c r="B28" t="s">
        <v>64</v>
      </c>
      <c r="C28" s="15">
        <v>1.65</v>
      </c>
      <c r="D28" t="s">
        <v>298</v>
      </c>
      <c r="E28" s="15">
        <v>1.65</v>
      </c>
      <c r="F28" s="14" t="s">
        <v>284</v>
      </c>
    </row>
    <row r="29" spans="1:15" x14ac:dyDescent="0.4">
      <c r="A29" t="s">
        <v>66</v>
      </c>
      <c r="B29" t="s">
        <v>38</v>
      </c>
      <c r="C29" s="15">
        <v>5.39</v>
      </c>
      <c r="D29" t="s">
        <v>292</v>
      </c>
      <c r="E29" s="15">
        <v>0.67</v>
      </c>
      <c r="F29" s="14" t="s">
        <v>284</v>
      </c>
    </row>
    <row r="30" spans="1:15" x14ac:dyDescent="0.4">
      <c r="A30" t="s">
        <v>26</v>
      </c>
      <c r="B30" t="s">
        <v>68</v>
      </c>
      <c r="C30" s="15">
        <v>5.89</v>
      </c>
      <c r="D30" t="s">
        <v>287</v>
      </c>
      <c r="E30" s="15">
        <v>0.1</v>
      </c>
      <c r="F30" t="s">
        <v>69</v>
      </c>
    </row>
    <row r="31" spans="1:15" x14ac:dyDescent="0.4">
      <c r="A31" t="s">
        <v>70</v>
      </c>
      <c r="B31" t="s">
        <v>229</v>
      </c>
      <c r="C31" s="15">
        <v>8.85</v>
      </c>
      <c r="D31" t="s">
        <v>286</v>
      </c>
      <c r="E31" s="15">
        <v>0.52</v>
      </c>
      <c r="F31" t="s">
        <v>69</v>
      </c>
    </row>
    <row r="32" spans="1:15" x14ac:dyDescent="0.4">
      <c r="A32" s="1" t="s">
        <v>214</v>
      </c>
      <c r="C32" s="15">
        <f>SUM(C25:C31)</f>
        <v>43.410000000000004</v>
      </c>
      <c r="E32" s="15">
        <f>SUM(E25:E31)</f>
        <v>11.049999999999999</v>
      </c>
    </row>
    <row r="33" spans="1:15" x14ac:dyDescent="0.4">
      <c r="A33" s="11" t="s">
        <v>71</v>
      </c>
      <c r="C33" s="15"/>
      <c r="E33" s="15"/>
    </row>
    <row r="34" spans="1:15" x14ac:dyDescent="0.4">
      <c r="A34" s="1"/>
      <c r="C34" s="15"/>
      <c r="E34" s="15"/>
    </row>
    <row r="35" spans="1:15" x14ac:dyDescent="0.4">
      <c r="A35" s="29" t="s">
        <v>72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17">
        <v>6</v>
      </c>
    </row>
    <row r="36" spans="1:15" x14ac:dyDescent="0.4">
      <c r="A36" s="3" t="s">
        <v>73</v>
      </c>
      <c r="B36" t="s">
        <v>74</v>
      </c>
      <c r="C36" s="19">
        <v>10.59</v>
      </c>
      <c r="D36" s="20" t="s">
        <v>293</v>
      </c>
      <c r="E36" s="19">
        <v>10.59</v>
      </c>
      <c r="F36" s="14" t="s">
        <v>284</v>
      </c>
      <c r="G36" s="2"/>
      <c r="H36" s="2"/>
      <c r="I36" s="2"/>
      <c r="J36" s="2"/>
      <c r="K36" s="2"/>
      <c r="L36" s="2"/>
      <c r="M36" s="2"/>
      <c r="N36" s="2"/>
    </row>
    <row r="37" spans="1:15" x14ac:dyDescent="0.4">
      <c r="A37" s="3" t="s">
        <v>76</v>
      </c>
      <c r="B37" s="18">
        <v>1</v>
      </c>
      <c r="C37" s="15">
        <v>0.99</v>
      </c>
      <c r="D37" t="s">
        <v>299</v>
      </c>
      <c r="E37" s="19">
        <v>0.99</v>
      </c>
      <c r="F37" s="14" t="s">
        <v>284</v>
      </c>
      <c r="G37" s="19"/>
      <c r="H37" s="14"/>
      <c r="I37" s="2"/>
      <c r="J37" s="2"/>
      <c r="K37" s="2"/>
      <c r="L37" s="2"/>
      <c r="M37" s="2"/>
      <c r="N37" s="2"/>
    </row>
    <row r="38" spans="1:15" x14ac:dyDescent="0.4">
      <c r="A38" t="s">
        <v>79</v>
      </c>
      <c r="B38" t="s">
        <v>64</v>
      </c>
      <c r="C38" s="15">
        <v>1.95</v>
      </c>
      <c r="D38" t="s">
        <v>298</v>
      </c>
      <c r="E38" s="19">
        <v>1.95</v>
      </c>
      <c r="F38" s="14" t="s">
        <v>284</v>
      </c>
      <c r="G38" s="2"/>
      <c r="H38" s="2"/>
      <c r="I38" s="2"/>
      <c r="J38" s="2"/>
      <c r="K38" s="2"/>
      <c r="L38" s="2"/>
      <c r="M38" s="2"/>
      <c r="N38" s="2"/>
    </row>
    <row r="39" spans="1:15" x14ac:dyDescent="0.4">
      <c r="A39" t="s">
        <v>82</v>
      </c>
      <c r="B39" t="s">
        <v>83</v>
      </c>
      <c r="C39" s="19">
        <v>1.39</v>
      </c>
      <c r="D39" s="20" t="s">
        <v>300</v>
      </c>
      <c r="E39" s="19">
        <v>1.39</v>
      </c>
      <c r="F39" s="14" t="s">
        <v>284</v>
      </c>
      <c r="G39" s="2"/>
      <c r="H39" s="2"/>
      <c r="I39" s="2"/>
      <c r="J39" s="2"/>
      <c r="K39" s="2"/>
      <c r="L39" s="2"/>
      <c r="M39" s="2"/>
      <c r="N39" s="2"/>
    </row>
    <row r="40" spans="1:15" x14ac:dyDescent="0.4">
      <c r="A40" t="s">
        <v>230</v>
      </c>
      <c r="B40" t="s">
        <v>64</v>
      </c>
      <c r="C40" s="15">
        <v>1.55</v>
      </c>
      <c r="D40" t="s">
        <v>64</v>
      </c>
      <c r="E40" s="15">
        <v>1.55</v>
      </c>
      <c r="F40" s="14" t="s">
        <v>284</v>
      </c>
    </row>
    <row r="41" spans="1:15" x14ac:dyDescent="0.4">
      <c r="A41" t="s">
        <v>89</v>
      </c>
      <c r="B41" t="s">
        <v>64</v>
      </c>
      <c r="C41" s="15">
        <v>1.79</v>
      </c>
      <c r="D41" t="s">
        <v>64</v>
      </c>
      <c r="E41" s="15">
        <v>1.79</v>
      </c>
      <c r="F41" s="14" t="s">
        <v>284</v>
      </c>
    </row>
    <row r="42" spans="1:15" x14ac:dyDescent="0.4">
      <c r="A42" t="s">
        <v>26</v>
      </c>
      <c r="B42" t="s">
        <v>91</v>
      </c>
      <c r="C42" s="15">
        <v>5.89</v>
      </c>
      <c r="D42" t="s">
        <v>287</v>
      </c>
      <c r="E42" s="15">
        <v>0.1</v>
      </c>
      <c r="F42" t="s">
        <v>69</v>
      </c>
    </row>
    <row r="43" spans="1:15" x14ac:dyDescent="0.4">
      <c r="A43" t="s">
        <v>66</v>
      </c>
      <c r="B43" t="s">
        <v>92</v>
      </c>
      <c r="C43" s="15">
        <v>5.39</v>
      </c>
      <c r="D43" t="s">
        <v>292</v>
      </c>
      <c r="E43" s="15">
        <v>4.04</v>
      </c>
      <c r="F43" s="14" t="s">
        <v>284</v>
      </c>
    </row>
    <row r="44" spans="1:15" x14ac:dyDescent="0.4">
      <c r="A44" t="s">
        <v>93</v>
      </c>
      <c r="B44" t="s">
        <v>94</v>
      </c>
      <c r="C44" s="15">
        <v>3.99</v>
      </c>
      <c r="D44" t="s">
        <v>262</v>
      </c>
      <c r="E44" s="15">
        <v>1.99</v>
      </c>
      <c r="F44" s="14" t="s">
        <v>284</v>
      </c>
    </row>
    <row r="45" spans="1:15" x14ac:dyDescent="0.4">
      <c r="A45" t="s">
        <v>96</v>
      </c>
      <c r="B45" t="s">
        <v>231</v>
      </c>
      <c r="C45" s="15">
        <v>2.65</v>
      </c>
      <c r="D45" t="s">
        <v>293</v>
      </c>
      <c r="E45" s="15">
        <v>1.33</v>
      </c>
      <c r="F45" s="14" t="s">
        <v>284</v>
      </c>
    </row>
    <row r="46" spans="1:15" x14ac:dyDescent="0.4">
      <c r="A46" s="1" t="s">
        <v>214</v>
      </c>
      <c r="C46" s="15">
        <f>SUM(C36:C45)</f>
        <v>36.18</v>
      </c>
      <c r="E46" s="15">
        <f>SUM(E36:E45)</f>
        <v>25.72</v>
      </c>
    </row>
    <row r="47" spans="1:15" x14ac:dyDescent="0.4">
      <c r="A47" s="11" t="s">
        <v>71</v>
      </c>
      <c r="C47" s="15"/>
      <c r="E47" s="15"/>
    </row>
    <row r="48" spans="1:15" x14ac:dyDescent="0.4">
      <c r="C48" s="15"/>
      <c r="E48" s="15"/>
    </row>
    <row r="49" spans="1:15" x14ac:dyDescent="0.4">
      <c r="A49" s="29" t="s">
        <v>99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17">
        <v>4</v>
      </c>
    </row>
    <row r="50" spans="1:15" x14ac:dyDescent="0.4">
      <c r="A50" t="s">
        <v>100</v>
      </c>
      <c r="B50" t="s">
        <v>101</v>
      </c>
      <c r="C50" s="15">
        <v>18.39</v>
      </c>
      <c r="D50" t="s">
        <v>301</v>
      </c>
      <c r="E50" s="15">
        <v>1.95</v>
      </c>
      <c r="F50" s="14" t="s">
        <v>284</v>
      </c>
    </row>
    <row r="51" spans="1:15" x14ac:dyDescent="0.4">
      <c r="A51" t="s">
        <v>103</v>
      </c>
      <c r="B51" t="s">
        <v>104</v>
      </c>
      <c r="C51" s="15">
        <v>2.79</v>
      </c>
      <c r="D51" t="s">
        <v>302</v>
      </c>
      <c r="E51" s="15">
        <v>0.17</v>
      </c>
      <c r="F51" s="14" t="s">
        <v>284</v>
      </c>
    </row>
    <row r="52" spans="1:15" x14ac:dyDescent="0.4">
      <c r="A52" s="3" t="s">
        <v>106</v>
      </c>
      <c r="B52" t="s">
        <v>47</v>
      </c>
      <c r="C52" s="15">
        <v>5.45</v>
      </c>
      <c r="D52" t="s">
        <v>303</v>
      </c>
      <c r="E52" s="15">
        <v>0.14000000000000001</v>
      </c>
      <c r="F52" s="14" t="s">
        <v>284</v>
      </c>
    </row>
    <row r="53" spans="1:15" x14ac:dyDescent="0.4">
      <c r="A53" s="3" t="s">
        <v>108</v>
      </c>
      <c r="B53" t="s">
        <v>109</v>
      </c>
      <c r="C53" s="15">
        <v>1.35</v>
      </c>
      <c r="D53" t="s">
        <v>304</v>
      </c>
      <c r="E53" s="15">
        <v>0.01</v>
      </c>
      <c r="F53" s="14" t="s">
        <v>284</v>
      </c>
    </row>
    <row r="54" spans="1:15" x14ac:dyDescent="0.4">
      <c r="A54" t="s">
        <v>111</v>
      </c>
      <c r="B54" t="s">
        <v>109</v>
      </c>
      <c r="C54" s="15">
        <v>5.59</v>
      </c>
      <c r="D54" t="s">
        <v>305</v>
      </c>
      <c r="E54" s="15">
        <v>0.15</v>
      </c>
      <c r="F54" t="s">
        <v>69</v>
      </c>
    </row>
    <row r="55" spans="1:15" x14ac:dyDescent="0.4">
      <c r="A55" t="s">
        <v>113</v>
      </c>
      <c r="B55" t="s">
        <v>114</v>
      </c>
      <c r="C55" s="15" t="s">
        <v>284</v>
      </c>
      <c r="D55" t="s">
        <v>284</v>
      </c>
      <c r="E55" s="15" t="s">
        <v>284</v>
      </c>
      <c r="F55" s="14" t="s">
        <v>284</v>
      </c>
    </row>
    <row r="56" spans="1:15" x14ac:dyDescent="0.4">
      <c r="A56" t="s">
        <v>116</v>
      </c>
      <c r="B56">
        <v>2</v>
      </c>
      <c r="C56" s="15">
        <v>3.65</v>
      </c>
      <c r="D56" t="s">
        <v>306</v>
      </c>
      <c r="E56" s="15">
        <v>0.61</v>
      </c>
      <c r="F56" s="14" t="s">
        <v>284</v>
      </c>
    </row>
    <row r="57" spans="1:15" x14ac:dyDescent="0.4">
      <c r="A57" t="s">
        <v>118</v>
      </c>
      <c r="B57" t="s">
        <v>119</v>
      </c>
      <c r="C57" s="15">
        <v>5.99</v>
      </c>
      <c r="D57" t="s">
        <v>307</v>
      </c>
      <c r="E57" s="15">
        <v>0.37</v>
      </c>
      <c r="F57" s="14" t="s">
        <v>284</v>
      </c>
    </row>
    <row r="58" spans="1:15" x14ac:dyDescent="0.4">
      <c r="A58" s="1" t="s">
        <v>214</v>
      </c>
      <c r="C58" s="15">
        <f>SUM(C50:C57)</f>
        <v>43.21</v>
      </c>
      <c r="E58" s="15">
        <f>SUM(E50:E57)</f>
        <v>3.4</v>
      </c>
    </row>
    <row r="59" spans="1:15" x14ac:dyDescent="0.4">
      <c r="A59" s="13" t="s">
        <v>121</v>
      </c>
      <c r="C59" s="15"/>
      <c r="E59" s="15"/>
    </row>
    <row r="60" spans="1:15" x14ac:dyDescent="0.4">
      <c r="A60" s="11"/>
      <c r="C60" s="15"/>
      <c r="E60" s="15"/>
    </row>
    <row r="61" spans="1:15" x14ac:dyDescent="0.4">
      <c r="A61" s="29" t="s">
        <v>122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17">
        <v>2</v>
      </c>
    </row>
    <row r="62" spans="1:15" x14ac:dyDescent="0.4">
      <c r="A62" t="s">
        <v>123</v>
      </c>
      <c r="B62" t="s">
        <v>124</v>
      </c>
      <c r="C62" s="15">
        <v>2.69</v>
      </c>
      <c r="D62" t="s">
        <v>308</v>
      </c>
      <c r="E62" s="15">
        <v>1.34</v>
      </c>
      <c r="F62" s="14" t="s">
        <v>284</v>
      </c>
    </row>
    <row r="63" spans="1:15" x14ac:dyDescent="0.4">
      <c r="A63" t="s">
        <v>126</v>
      </c>
      <c r="B63" t="s">
        <v>127</v>
      </c>
      <c r="C63" s="15">
        <v>12.39</v>
      </c>
      <c r="D63" t="s">
        <v>309</v>
      </c>
      <c r="E63" s="15">
        <v>1.77</v>
      </c>
      <c r="F63" t="s">
        <v>69</v>
      </c>
    </row>
    <row r="64" spans="1:15" x14ac:dyDescent="0.4">
      <c r="A64" t="s">
        <v>134</v>
      </c>
      <c r="B64" t="s">
        <v>38</v>
      </c>
      <c r="C64" s="15">
        <v>5.49</v>
      </c>
      <c r="D64" t="s">
        <v>292</v>
      </c>
      <c r="E64" s="15">
        <v>0.69</v>
      </c>
      <c r="F64" s="14" t="s">
        <v>284</v>
      </c>
    </row>
    <row r="65" spans="1:15" x14ac:dyDescent="0.4">
      <c r="A65" s="3" t="s">
        <v>137</v>
      </c>
      <c r="B65" t="s">
        <v>138</v>
      </c>
      <c r="C65" s="15">
        <v>1.99</v>
      </c>
      <c r="D65" t="s">
        <v>310</v>
      </c>
      <c r="E65" s="15">
        <v>0.25</v>
      </c>
      <c r="F65" s="14" t="s">
        <v>284</v>
      </c>
    </row>
    <row r="66" spans="1:15" x14ac:dyDescent="0.4">
      <c r="A66" t="s">
        <v>140</v>
      </c>
      <c r="B66" t="s">
        <v>22</v>
      </c>
      <c r="C66" s="15">
        <v>5.49</v>
      </c>
      <c r="D66" t="s">
        <v>311</v>
      </c>
      <c r="E66" s="15">
        <v>0.34</v>
      </c>
      <c r="F66" s="14" t="s">
        <v>284</v>
      </c>
    </row>
    <row r="67" spans="1:15" x14ac:dyDescent="0.4">
      <c r="A67" s="1" t="s">
        <v>214</v>
      </c>
      <c r="C67" s="15">
        <f>SUM(C61:C66)</f>
        <v>28.049999999999997</v>
      </c>
      <c r="E67" s="15">
        <f>SUM(E61:E66)</f>
        <v>4.3900000000000006</v>
      </c>
    </row>
    <row r="68" spans="1:15" x14ac:dyDescent="0.4">
      <c r="A68" s="13" t="s">
        <v>142</v>
      </c>
      <c r="C68" s="15"/>
      <c r="E68" s="15"/>
    </row>
    <row r="69" spans="1:15" x14ac:dyDescent="0.4">
      <c r="A69" s="11"/>
      <c r="C69" s="15"/>
      <c r="E69" s="15"/>
    </row>
    <row r="70" spans="1:15" x14ac:dyDescent="0.4">
      <c r="A70" s="29" t="s">
        <v>143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17">
        <v>4</v>
      </c>
    </row>
    <row r="71" spans="1:15" x14ac:dyDescent="0.4">
      <c r="A71" t="s">
        <v>144</v>
      </c>
      <c r="B71">
        <v>3</v>
      </c>
      <c r="C71" s="15">
        <v>5.89</v>
      </c>
      <c r="D71" t="s">
        <v>312</v>
      </c>
      <c r="E71" s="15">
        <v>4.42</v>
      </c>
      <c r="F71" s="14" t="s">
        <v>284</v>
      </c>
    </row>
    <row r="72" spans="1:15" x14ac:dyDescent="0.4">
      <c r="A72" t="s">
        <v>145</v>
      </c>
      <c r="B72">
        <v>1</v>
      </c>
      <c r="C72" s="15">
        <v>0.99</v>
      </c>
      <c r="D72" t="s">
        <v>299</v>
      </c>
      <c r="E72" s="15">
        <v>0.99</v>
      </c>
      <c r="F72" s="14" t="s">
        <v>284</v>
      </c>
    </row>
    <row r="73" spans="1:15" x14ac:dyDescent="0.4">
      <c r="A73" t="s">
        <v>146</v>
      </c>
      <c r="B73">
        <v>1</v>
      </c>
      <c r="C73" s="15">
        <v>1.95</v>
      </c>
      <c r="D73" t="s">
        <v>298</v>
      </c>
      <c r="E73" s="15">
        <v>1.95</v>
      </c>
      <c r="F73" s="14" t="s">
        <v>284</v>
      </c>
    </row>
    <row r="74" spans="1:15" x14ac:dyDescent="0.4">
      <c r="A74" t="s">
        <v>147</v>
      </c>
      <c r="B74" t="s">
        <v>148</v>
      </c>
      <c r="C74" s="15">
        <v>8.85</v>
      </c>
      <c r="D74" t="s">
        <v>286</v>
      </c>
      <c r="E74" s="15">
        <v>0.26</v>
      </c>
      <c r="F74" t="s">
        <v>69</v>
      </c>
    </row>
    <row r="75" spans="1:15" x14ac:dyDescent="0.4">
      <c r="A75" t="s">
        <v>73</v>
      </c>
      <c r="B75" t="s">
        <v>149</v>
      </c>
      <c r="C75" s="19">
        <v>10.59</v>
      </c>
      <c r="D75" s="20" t="s">
        <v>293</v>
      </c>
      <c r="E75" s="19">
        <v>10.59</v>
      </c>
      <c r="F75" t="s">
        <v>69</v>
      </c>
    </row>
    <row r="76" spans="1:15" x14ac:dyDescent="0.4">
      <c r="A76" t="s">
        <v>150</v>
      </c>
      <c r="B76" t="s">
        <v>101</v>
      </c>
      <c r="C76" s="15">
        <v>2.4900000000000002</v>
      </c>
      <c r="D76" t="s">
        <v>313</v>
      </c>
      <c r="E76" s="15">
        <v>1.24</v>
      </c>
      <c r="F76" s="14" t="s">
        <v>284</v>
      </c>
    </row>
    <row r="77" spans="1:15" x14ac:dyDescent="0.4">
      <c r="A77" t="s">
        <v>151</v>
      </c>
      <c r="B77" t="s">
        <v>17</v>
      </c>
      <c r="C77" s="15">
        <v>4.59</v>
      </c>
      <c r="D77" t="s">
        <v>314</v>
      </c>
      <c r="E77" s="15">
        <v>1.1499999999999999</v>
      </c>
      <c r="F77" s="14" t="s">
        <v>284</v>
      </c>
    </row>
    <row r="78" spans="1:15" x14ac:dyDescent="0.4">
      <c r="A78" t="s">
        <v>152</v>
      </c>
      <c r="B78" t="s">
        <v>68</v>
      </c>
      <c r="C78" s="15">
        <v>1.69</v>
      </c>
      <c r="D78" t="s">
        <v>315</v>
      </c>
      <c r="E78" s="15">
        <v>0.05</v>
      </c>
      <c r="F78" s="14" t="s">
        <v>284</v>
      </c>
    </row>
    <row r="79" spans="1:15" x14ac:dyDescent="0.4">
      <c r="A79" t="s">
        <v>111</v>
      </c>
      <c r="B79" t="s">
        <v>68</v>
      </c>
      <c r="C79" s="15">
        <v>5.59</v>
      </c>
      <c r="D79" t="s">
        <v>287</v>
      </c>
      <c r="E79" s="15">
        <v>0.1</v>
      </c>
      <c r="F79" t="s">
        <v>69</v>
      </c>
    </row>
    <row r="80" spans="1:15" x14ac:dyDescent="0.4">
      <c r="A80" t="s">
        <v>153</v>
      </c>
      <c r="B80" t="s">
        <v>148</v>
      </c>
      <c r="C80" s="15">
        <v>2.89</v>
      </c>
      <c r="D80" t="s">
        <v>288</v>
      </c>
      <c r="E80" s="15">
        <v>0.25</v>
      </c>
      <c r="F80" t="s">
        <v>69</v>
      </c>
    </row>
    <row r="81" spans="1:15" x14ac:dyDescent="0.4">
      <c r="A81" t="s">
        <v>154</v>
      </c>
      <c r="B81" t="s">
        <v>68</v>
      </c>
      <c r="C81" s="15">
        <v>1.69</v>
      </c>
      <c r="D81" t="s">
        <v>316</v>
      </c>
      <c r="E81" s="15">
        <v>0.11</v>
      </c>
      <c r="F81" s="14" t="s">
        <v>284</v>
      </c>
    </row>
    <row r="82" spans="1:15" x14ac:dyDescent="0.4">
      <c r="A82" t="s">
        <v>155</v>
      </c>
      <c r="B82" t="s">
        <v>68</v>
      </c>
      <c r="C82" s="15">
        <v>4.99</v>
      </c>
      <c r="D82" t="s">
        <v>317</v>
      </c>
      <c r="E82" s="15">
        <v>0.23</v>
      </c>
      <c r="F82" s="14" t="s">
        <v>284</v>
      </c>
    </row>
    <row r="83" spans="1:15" x14ac:dyDescent="0.4">
      <c r="A83" s="1" t="s">
        <v>214</v>
      </c>
      <c r="C83" s="15">
        <f>SUM(C71:C82)</f>
        <v>52.199999999999996</v>
      </c>
      <c r="E83" s="15">
        <f>SUM(E71:E82)</f>
        <v>21.34</v>
      </c>
    </row>
    <row r="84" spans="1:15" x14ac:dyDescent="0.4">
      <c r="A84" s="11" t="s">
        <v>71</v>
      </c>
      <c r="C84" s="15"/>
      <c r="E84" s="15"/>
    </row>
    <row r="85" spans="1:15" x14ac:dyDescent="0.4">
      <c r="C85" s="15"/>
      <c r="E85" s="15"/>
    </row>
    <row r="86" spans="1:15" x14ac:dyDescent="0.4">
      <c r="A86" s="29" t="s">
        <v>194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17">
        <v>4</v>
      </c>
    </row>
    <row r="87" spans="1:15" x14ac:dyDescent="0.4">
      <c r="A87" t="s">
        <v>73</v>
      </c>
      <c r="B87" t="s">
        <v>149</v>
      </c>
      <c r="C87" s="19">
        <v>10.59</v>
      </c>
      <c r="D87" s="20" t="s">
        <v>293</v>
      </c>
      <c r="E87" s="19">
        <v>10.59</v>
      </c>
      <c r="F87" t="s">
        <v>69</v>
      </c>
    </row>
    <row r="88" spans="1:15" x14ac:dyDescent="0.4">
      <c r="A88" t="s">
        <v>145</v>
      </c>
      <c r="B88" s="9">
        <v>0.5</v>
      </c>
      <c r="C88" s="15">
        <v>0.99</v>
      </c>
      <c r="D88" t="s">
        <v>299</v>
      </c>
      <c r="E88" s="15">
        <v>0.49</v>
      </c>
      <c r="F88" t="s">
        <v>69</v>
      </c>
    </row>
    <row r="89" spans="1:15" x14ac:dyDescent="0.4">
      <c r="A89" t="s">
        <v>157</v>
      </c>
      <c r="B89" s="8" t="s">
        <v>17</v>
      </c>
      <c r="C89" s="15" t="s">
        <v>284</v>
      </c>
      <c r="D89" t="s">
        <v>284</v>
      </c>
      <c r="E89" s="15" t="s">
        <v>284</v>
      </c>
      <c r="F89" s="14" t="s">
        <v>284</v>
      </c>
    </row>
    <row r="90" spans="1:15" x14ac:dyDescent="0.4">
      <c r="A90" t="s">
        <v>158</v>
      </c>
      <c r="B90">
        <v>1</v>
      </c>
      <c r="C90" s="15">
        <v>3.65</v>
      </c>
      <c r="D90" t="s">
        <v>306</v>
      </c>
      <c r="E90" s="15">
        <v>0.3</v>
      </c>
      <c r="F90" t="s">
        <v>69</v>
      </c>
    </row>
    <row r="91" spans="1:15" x14ac:dyDescent="0.4">
      <c r="A91" t="s">
        <v>232</v>
      </c>
      <c r="B91" t="s">
        <v>38</v>
      </c>
      <c r="C91" s="15">
        <v>4.79</v>
      </c>
      <c r="D91" t="s">
        <v>291</v>
      </c>
      <c r="E91" s="15">
        <v>0.08</v>
      </c>
      <c r="F91" t="s">
        <v>69</v>
      </c>
    </row>
    <row r="92" spans="1:15" x14ac:dyDescent="0.4">
      <c r="A92" t="s">
        <v>26</v>
      </c>
      <c r="B92" t="s">
        <v>68</v>
      </c>
      <c r="C92" s="15">
        <v>5.89</v>
      </c>
      <c r="D92" t="s">
        <v>287</v>
      </c>
      <c r="E92" s="15">
        <v>0.1</v>
      </c>
      <c r="F92" t="s">
        <v>69</v>
      </c>
    </row>
    <row r="93" spans="1:15" x14ac:dyDescent="0.4">
      <c r="A93" t="s">
        <v>147</v>
      </c>
      <c r="B93" t="s">
        <v>148</v>
      </c>
      <c r="C93" s="15">
        <v>8.85</v>
      </c>
      <c r="D93" t="s">
        <v>286</v>
      </c>
      <c r="E93" s="15">
        <v>0.26</v>
      </c>
      <c r="F93" t="s">
        <v>69</v>
      </c>
    </row>
    <row r="94" spans="1:15" x14ac:dyDescent="0.4">
      <c r="A94" s="1" t="s">
        <v>214</v>
      </c>
      <c r="C94" s="15">
        <f>SUM(C87:C93)</f>
        <v>34.76</v>
      </c>
      <c r="E94" s="15">
        <f>SUM(E87:E93)</f>
        <v>11.82</v>
      </c>
    </row>
    <row r="95" spans="1:15" x14ac:dyDescent="0.4">
      <c r="A95" s="11" t="s">
        <v>71</v>
      </c>
      <c r="C95" s="15"/>
      <c r="E95" s="15"/>
    </row>
    <row r="96" spans="1:15" x14ac:dyDescent="0.4">
      <c r="C96" s="15"/>
      <c r="E96" s="15"/>
    </row>
    <row r="97" spans="1:15" x14ac:dyDescent="0.4">
      <c r="A97" s="29" t="s">
        <v>159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17">
        <v>4</v>
      </c>
    </row>
    <row r="98" spans="1:15" x14ac:dyDescent="0.4">
      <c r="A98" t="s">
        <v>73</v>
      </c>
      <c r="B98" t="s">
        <v>160</v>
      </c>
      <c r="C98" s="19">
        <v>10.59</v>
      </c>
      <c r="D98" s="20" t="s">
        <v>293</v>
      </c>
      <c r="E98" s="19">
        <v>5.29</v>
      </c>
      <c r="F98" t="s">
        <v>69</v>
      </c>
    </row>
    <row r="99" spans="1:15" x14ac:dyDescent="0.4">
      <c r="A99" t="s">
        <v>161</v>
      </c>
      <c r="B99" t="s">
        <v>17</v>
      </c>
      <c r="C99" s="15">
        <v>4.59</v>
      </c>
      <c r="D99" t="s">
        <v>314</v>
      </c>
      <c r="E99" s="15">
        <v>1.1499999999999999</v>
      </c>
      <c r="F99" t="s">
        <v>69</v>
      </c>
    </row>
    <row r="100" spans="1:15" x14ac:dyDescent="0.4">
      <c r="A100" t="s">
        <v>162</v>
      </c>
      <c r="B100">
        <v>2</v>
      </c>
      <c r="C100" s="15">
        <v>1.99</v>
      </c>
      <c r="D100" t="s">
        <v>299</v>
      </c>
      <c r="E100" s="15">
        <v>3.98</v>
      </c>
      <c r="F100" s="14" t="s">
        <v>284</v>
      </c>
    </row>
    <row r="101" spans="1:15" x14ac:dyDescent="0.4">
      <c r="A101" t="s">
        <v>163</v>
      </c>
      <c r="B101" t="s">
        <v>17</v>
      </c>
      <c r="C101" s="15">
        <v>5.49</v>
      </c>
      <c r="D101" t="s">
        <v>292</v>
      </c>
      <c r="E101" s="15">
        <v>2.68</v>
      </c>
      <c r="F101" s="14" t="s">
        <v>284</v>
      </c>
    </row>
    <row r="102" spans="1:15" x14ac:dyDescent="0.4">
      <c r="A102" t="s">
        <v>158</v>
      </c>
      <c r="B102">
        <v>2</v>
      </c>
      <c r="C102" s="15">
        <v>3.65</v>
      </c>
      <c r="D102" t="s">
        <v>306</v>
      </c>
      <c r="E102" s="15">
        <v>0.61</v>
      </c>
      <c r="F102" t="s">
        <v>69</v>
      </c>
    </row>
    <row r="103" spans="1:15" x14ac:dyDescent="0.4">
      <c r="A103" t="s">
        <v>164</v>
      </c>
      <c r="B103">
        <v>4</v>
      </c>
      <c r="C103" s="15">
        <v>3.49</v>
      </c>
      <c r="D103" t="s">
        <v>295</v>
      </c>
      <c r="E103" s="15">
        <v>1.75</v>
      </c>
      <c r="F103" t="s">
        <v>69</v>
      </c>
    </row>
    <row r="104" spans="1:15" x14ac:dyDescent="0.4">
      <c r="A104" t="s">
        <v>147</v>
      </c>
      <c r="B104" t="s">
        <v>22</v>
      </c>
      <c r="C104" s="15">
        <v>8.85</v>
      </c>
      <c r="D104" t="s">
        <v>286</v>
      </c>
      <c r="E104" s="15">
        <v>0.52</v>
      </c>
      <c r="F104" t="s">
        <v>69</v>
      </c>
    </row>
    <row r="105" spans="1:15" x14ac:dyDescent="0.4">
      <c r="A105" s="1" t="s">
        <v>214</v>
      </c>
      <c r="C105" s="15">
        <f>SUM(C98:C104)</f>
        <v>38.65</v>
      </c>
      <c r="E105" s="15">
        <f>SUM(E98:E104)</f>
        <v>15.979999999999999</v>
      </c>
    </row>
    <row r="106" spans="1:15" x14ac:dyDescent="0.4">
      <c r="A106" s="11" t="s">
        <v>71</v>
      </c>
      <c r="C106" s="15"/>
      <c r="E106" s="15"/>
    </row>
    <row r="107" spans="1:15" x14ac:dyDescent="0.4">
      <c r="C107" s="15"/>
      <c r="E107" s="15"/>
    </row>
    <row r="108" spans="1:15" x14ac:dyDescent="0.4">
      <c r="A108" s="29" t="s">
        <v>165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17">
        <v>1</v>
      </c>
    </row>
    <row r="109" spans="1:15" x14ac:dyDescent="0.4">
      <c r="A109" t="s">
        <v>166</v>
      </c>
      <c r="B109" t="s">
        <v>167</v>
      </c>
      <c r="C109" s="15">
        <v>3.28</v>
      </c>
      <c r="D109" t="s">
        <v>318</v>
      </c>
      <c r="E109" s="15">
        <v>0.41</v>
      </c>
      <c r="F109" s="14" t="s">
        <v>284</v>
      </c>
    </row>
    <row r="110" spans="1:15" x14ac:dyDescent="0.4">
      <c r="A110" t="s">
        <v>168</v>
      </c>
      <c r="B110" t="s">
        <v>169</v>
      </c>
      <c r="C110" s="15">
        <v>5.99</v>
      </c>
      <c r="D110" t="s">
        <v>319</v>
      </c>
      <c r="E110" s="15">
        <v>0.37</v>
      </c>
      <c r="F110" s="14" t="s">
        <v>284</v>
      </c>
    </row>
    <row r="111" spans="1:15" x14ac:dyDescent="0.4">
      <c r="A111" t="s">
        <v>170</v>
      </c>
      <c r="B111" t="s">
        <v>68</v>
      </c>
      <c r="C111" s="15">
        <v>4.49</v>
      </c>
      <c r="D111" t="s">
        <v>320</v>
      </c>
      <c r="E111" s="15">
        <v>0.1</v>
      </c>
      <c r="F111" s="14" t="s">
        <v>284</v>
      </c>
    </row>
    <row r="112" spans="1:15" x14ac:dyDescent="0.4">
      <c r="A112" t="s">
        <v>171</v>
      </c>
      <c r="B112" t="s">
        <v>172</v>
      </c>
      <c r="C112" s="15">
        <v>2.59</v>
      </c>
      <c r="D112" t="s">
        <v>321</v>
      </c>
      <c r="E112" s="15">
        <v>0.06</v>
      </c>
      <c r="F112" s="14" t="s">
        <v>284</v>
      </c>
    </row>
    <row r="113" spans="1:6" x14ac:dyDescent="0.4">
      <c r="A113" t="s">
        <v>162</v>
      </c>
      <c r="B113" s="8" t="s">
        <v>173</v>
      </c>
      <c r="C113" s="15">
        <v>1.99</v>
      </c>
      <c r="D113" t="s">
        <v>299</v>
      </c>
      <c r="E113" s="15">
        <v>0.99</v>
      </c>
      <c r="F113" t="s">
        <v>69</v>
      </c>
    </row>
    <row r="114" spans="1:6" x14ac:dyDescent="0.4">
      <c r="A114" t="s">
        <v>174</v>
      </c>
      <c r="B114" t="s">
        <v>175</v>
      </c>
      <c r="C114" s="15">
        <v>2.69</v>
      </c>
      <c r="D114" t="s">
        <v>308</v>
      </c>
      <c r="E114" s="15">
        <v>0.38</v>
      </c>
      <c r="F114" t="s">
        <v>69</v>
      </c>
    </row>
    <row r="115" spans="1:6" x14ac:dyDescent="0.4">
      <c r="A115" t="s">
        <v>176</v>
      </c>
      <c r="B115" t="s">
        <v>167</v>
      </c>
      <c r="C115" s="15">
        <v>2.4900000000000002</v>
      </c>
      <c r="D115" t="s">
        <v>322</v>
      </c>
      <c r="E115" s="15">
        <v>0.26</v>
      </c>
      <c r="F115" s="14" t="s">
        <v>284</v>
      </c>
    </row>
    <row r="116" spans="1:6" x14ac:dyDescent="0.4">
      <c r="A116" t="s">
        <v>177</v>
      </c>
      <c r="B116" t="s">
        <v>173</v>
      </c>
      <c r="C116" s="15">
        <v>0.85</v>
      </c>
      <c r="D116" t="s">
        <v>323</v>
      </c>
      <c r="E116" s="15">
        <v>0.42</v>
      </c>
      <c r="F116" s="14" t="s">
        <v>284</v>
      </c>
    </row>
    <row r="117" spans="1:6" x14ac:dyDescent="0.4">
      <c r="A117" t="s">
        <v>178</v>
      </c>
      <c r="B117" t="s">
        <v>179</v>
      </c>
      <c r="C117" s="15">
        <v>1.99</v>
      </c>
      <c r="D117" t="s">
        <v>299</v>
      </c>
      <c r="E117" s="15">
        <v>0.49</v>
      </c>
      <c r="F117" s="14" t="s">
        <v>284</v>
      </c>
    </row>
    <row r="118" spans="1:6" x14ac:dyDescent="0.4">
      <c r="A118" t="s">
        <v>180</v>
      </c>
      <c r="B118" t="s">
        <v>38</v>
      </c>
      <c r="C118" s="15" t="s">
        <v>284</v>
      </c>
      <c r="D118" t="s">
        <v>284</v>
      </c>
      <c r="E118" s="15" t="s">
        <v>284</v>
      </c>
      <c r="F118" s="14" t="s">
        <v>284</v>
      </c>
    </row>
    <row r="119" spans="1:6" x14ac:dyDescent="0.4">
      <c r="A119" t="s">
        <v>26</v>
      </c>
      <c r="B119" t="s">
        <v>182</v>
      </c>
      <c r="C119" s="15">
        <v>5.89</v>
      </c>
      <c r="D119" t="s">
        <v>287</v>
      </c>
      <c r="E119" s="15">
        <v>0.1</v>
      </c>
      <c r="F119" t="s">
        <v>69</v>
      </c>
    </row>
    <row r="120" spans="1:6" x14ac:dyDescent="0.4">
      <c r="A120" s="1" t="s">
        <v>214</v>
      </c>
      <c r="C120" s="15">
        <f>SUM(C109:C119)</f>
        <v>32.25</v>
      </c>
      <c r="E120" s="15">
        <f>SUM(E109:E119)</f>
        <v>3.5800000000000005</v>
      </c>
    </row>
    <row r="121" spans="1:6" x14ac:dyDescent="0.4">
      <c r="A121" s="11" t="s">
        <v>71</v>
      </c>
      <c r="C121" s="15"/>
      <c r="E121" s="15"/>
    </row>
    <row r="122" spans="1:6" x14ac:dyDescent="0.4">
      <c r="C122" s="15"/>
      <c r="E122" s="15"/>
    </row>
  </sheetData>
  <mergeCells count="10">
    <mergeCell ref="A97:N97"/>
    <mergeCell ref="A108:N108"/>
    <mergeCell ref="A3:N3"/>
    <mergeCell ref="A14:N14"/>
    <mergeCell ref="A24:N24"/>
    <mergeCell ref="A35:N35"/>
    <mergeCell ref="A49:N49"/>
    <mergeCell ref="A61:N61"/>
    <mergeCell ref="A70:N70"/>
    <mergeCell ref="A86:N8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1F28-2980-4FDB-A70C-E257B0ACDBBD}">
  <dimension ref="A1:Q122"/>
  <sheetViews>
    <sheetView topLeftCell="A41" workbookViewId="0">
      <selection activeCell="D118" sqref="D118"/>
    </sheetView>
  </sheetViews>
  <sheetFormatPr defaultRowHeight="14.6" x14ac:dyDescent="0.4"/>
  <cols>
    <col min="1" max="1" width="33.3046875" customWidth="1"/>
    <col min="2" max="2" width="16.84375" bestFit="1" customWidth="1"/>
    <col min="4" max="4" width="15.69140625" bestFit="1" customWidth="1"/>
    <col min="5" max="5" width="11.3828125" bestFit="1" customWidth="1"/>
    <col min="6" max="6" width="28.69140625" bestFit="1" customWidth="1"/>
  </cols>
  <sheetData>
    <row r="1" spans="1:17" x14ac:dyDescent="0.4">
      <c r="A1" s="6" t="s">
        <v>0</v>
      </c>
      <c r="B1" s="7" t="s">
        <v>195</v>
      </c>
      <c r="C1" s="16" t="s">
        <v>196</v>
      </c>
      <c r="D1" s="6" t="s">
        <v>197</v>
      </c>
      <c r="E1" s="16" t="s">
        <v>198</v>
      </c>
      <c r="F1" s="6" t="s">
        <v>8</v>
      </c>
      <c r="G1" s="6"/>
      <c r="H1" s="6"/>
      <c r="I1" s="6"/>
      <c r="J1" s="6"/>
      <c r="K1" s="6"/>
      <c r="L1" s="6"/>
      <c r="M1" s="6"/>
      <c r="N1" s="6"/>
      <c r="O1" s="6"/>
      <c r="P1" s="1"/>
      <c r="Q1" s="1"/>
    </row>
    <row r="2" spans="1:17" x14ac:dyDescent="0.4">
      <c r="A2" s="1"/>
      <c r="C2" s="15"/>
      <c r="E2" s="15"/>
    </row>
    <row r="3" spans="1:17" x14ac:dyDescent="0.4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7">
        <v>6</v>
      </c>
    </row>
    <row r="4" spans="1:17" x14ac:dyDescent="0.4">
      <c r="A4" t="s">
        <v>11</v>
      </c>
      <c r="B4" t="s">
        <v>12</v>
      </c>
      <c r="C4" s="15">
        <v>3.79</v>
      </c>
      <c r="D4" t="s">
        <v>310</v>
      </c>
      <c r="E4" s="15">
        <v>1.52</v>
      </c>
      <c r="F4" s="14" t="s">
        <v>324</v>
      </c>
    </row>
    <row r="5" spans="1:17" x14ac:dyDescent="0.4">
      <c r="A5" t="s">
        <v>15</v>
      </c>
      <c r="B5" t="s">
        <v>16</v>
      </c>
      <c r="C5" s="15">
        <v>4.99</v>
      </c>
      <c r="D5" t="s">
        <v>294</v>
      </c>
      <c r="E5" s="15">
        <v>2.4900000000000002</v>
      </c>
      <c r="F5" s="14" t="s">
        <v>325</v>
      </c>
    </row>
    <row r="6" spans="1:17" x14ac:dyDescent="0.4">
      <c r="A6" t="s">
        <v>203</v>
      </c>
      <c r="B6" t="s">
        <v>204</v>
      </c>
      <c r="C6" s="22">
        <v>4.99</v>
      </c>
      <c r="D6" t="s">
        <v>326</v>
      </c>
      <c r="E6" s="15">
        <v>4.99</v>
      </c>
      <c r="F6" s="14" t="s">
        <v>327</v>
      </c>
    </row>
    <row r="7" spans="1:17" x14ac:dyDescent="0.4">
      <c r="A7" t="s">
        <v>21</v>
      </c>
      <c r="B7" t="s">
        <v>22</v>
      </c>
      <c r="C7" s="15">
        <v>10.99</v>
      </c>
      <c r="D7" t="s">
        <v>328</v>
      </c>
      <c r="E7" s="15">
        <v>0.69</v>
      </c>
      <c r="F7" s="14" t="s">
        <v>329</v>
      </c>
    </row>
    <row r="8" spans="1:17" x14ac:dyDescent="0.4">
      <c r="A8" t="s">
        <v>26</v>
      </c>
      <c r="B8" t="s">
        <v>27</v>
      </c>
      <c r="C8" s="15">
        <v>2.99</v>
      </c>
      <c r="D8" t="s">
        <v>330</v>
      </c>
      <c r="E8" s="15">
        <v>0.1</v>
      </c>
      <c r="F8" s="14" t="s">
        <v>331</v>
      </c>
    </row>
    <row r="9" spans="1:17" x14ac:dyDescent="0.4">
      <c r="A9" t="s">
        <v>30</v>
      </c>
      <c r="B9" t="s">
        <v>22</v>
      </c>
      <c r="C9" s="15">
        <v>2.99</v>
      </c>
      <c r="D9" t="s">
        <v>266</v>
      </c>
      <c r="E9" s="15">
        <v>0.32</v>
      </c>
      <c r="F9" s="14" t="s">
        <v>332</v>
      </c>
    </row>
    <row r="10" spans="1:17" x14ac:dyDescent="0.4">
      <c r="A10" t="s">
        <v>32</v>
      </c>
      <c r="B10" t="s">
        <v>33</v>
      </c>
      <c r="C10" s="15">
        <v>1.25</v>
      </c>
      <c r="D10" t="s">
        <v>294</v>
      </c>
      <c r="E10" s="15">
        <v>0.83</v>
      </c>
      <c r="F10" s="14" t="s">
        <v>333</v>
      </c>
    </row>
    <row r="11" spans="1:17" x14ac:dyDescent="0.4">
      <c r="A11" s="1" t="s">
        <v>214</v>
      </c>
      <c r="C11" s="15">
        <f>SUM(C4:C10)</f>
        <v>31.990000000000002</v>
      </c>
      <c r="E11" s="15">
        <f>SUM(E4:E10)</f>
        <v>10.94</v>
      </c>
    </row>
    <row r="12" spans="1:17" x14ac:dyDescent="0.4">
      <c r="A12" s="11" t="s">
        <v>35</v>
      </c>
      <c r="C12" s="15"/>
      <c r="E12" s="15"/>
    </row>
    <row r="13" spans="1:17" x14ac:dyDescent="0.4">
      <c r="A13" s="11"/>
      <c r="C13" s="15"/>
      <c r="E13" s="15"/>
    </row>
    <row r="14" spans="1:17" x14ac:dyDescent="0.4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17">
        <v>1</v>
      </c>
    </row>
    <row r="15" spans="1:17" x14ac:dyDescent="0.4">
      <c r="A15" t="s">
        <v>37</v>
      </c>
      <c r="B15" t="s">
        <v>38</v>
      </c>
      <c r="C15" s="15">
        <v>2.59</v>
      </c>
      <c r="D15" t="s">
        <v>334</v>
      </c>
      <c r="E15" s="15">
        <v>0.12</v>
      </c>
      <c r="F15" s="14" t="s">
        <v>335</v>
      </c>
    </row>
    <row r="16" spans="1:17" x14ac:dyDescent="0.4">
      <c r="A16" t="s">
        <v>41</v>
      </c>
      <c r="B16" t="s">
        <v>38</v>
      </c>
      <c r="C16" s="15">
        <v>5.99</v>
      </c>
      <c r="D16" t="s">
        <v>290</v>
      </c>
      <c r="E16" s="15">
        <v>0.37</v>
      </c>
      <c r="F16" s="14" t="s">
        <v>336</v>
      </c>
    </row>
    <row r="17" spans="1:15" x14ac:dyDescent="0.4">
      <c r="A17" t="s">
        <v>43</v>
      </c>
      <c r="B17" t="s">
        <v>44</v>
      </c>
      <c r="C17" s="15">
        <v>1.79</v>
      </c>
      <c r="D17" t="s">
        <v>313</v>
      </c>
      <c r="E17" s="15">
        <v>0.15</v>
      </c>
      <c r="F17" s="14" t="s">
        <v>337</v>
      </c>
    </row>
    <row r="18" spans="1:15" x14ac:dyDescent="0.4">
      <c r="A18" t="s">
        <v>46</v>
      </c>
      <c r="B18" t="s">
        <v>47</v>
      </c>
      <c r="C18" s="15">
        <v>6.29</v>
      </c>
      <c r="D18" t="s">
        <v>338</v>
      </c>
      <c r="E18" s="15">
        <v>0.14000000000000001</v>
      </c>
      <c r="F18" s="14" t="s">
        <v>339</v>
      </c>
    </row>
    <row r="19" spans="1:15" x14ac:dyDescent="0.4">
      <c r="A19" t="s">
        <v>222</v>
      </c>
      <c r="B19" t="s">
        <v>38</v>
      </c>
      <c r="C19" s="15">
        <v>4.99</v>
      </c>
      <c r="D19" t="s">
        <v>340</v>
      </c>
      <c r="E19" s="15">
        <v>0.39</v>
      </c>
      <c r="F19" s="14" t="s">
        <v>341</v>
      </c>
    </row>
    <row r="20" spans="1:15" x14ac:dyDescent="0.4">
      <c r="A20" t="s">
        <v>50</v>
      </c>
      <c r="B20" t="s">
        <v>47</v>
      </c>
      <c r="C20" s="15">
        <v>5.99</v>
      </c>
      <c r="D20" t="s">
        <v>294</v>
      </c>
      <c r="E20" s="15">
        <v>0.21</v>
      </c>
      <c r="F20" s="14" t="s">
        <v>342</v>
      </c>
    </row>
    <row r="21" spans="1:15" x14ac:dyDescent="0.4">
      <c r="A21" s="1" t="s">
        <v>214</v>
      </c>
      <c r="C21" s="15">
        <f>SUM(C15:C20)</f>
        <v>27.64</v>
      </c>
      <c r="E21" s="15">
        <f>SUM(E15:E20)</f>
        <v>1.38</v>
      </c>
    </row>
    <row r="22" spans="1:15" x14ac:dyDescent="0.4">
      <c r="A22" s="12" t="s">
        <v>52</v>
      </c>
      <c r="C22" s="15"/>
      <c r="E22" s="15"/>
    </row>
    <row r="23" spans="1:15" x14ac:dyDescent="0.4">
      <c r="A23" s="10"/>
      <c r="C23" s="15"/>
      <c r="E23" s="15"/>
    </row>
    <row r="24" spans="1:15" x14ac:dyDescent="0.4">
      <c r="A24" s="29" t="s">
        <v>53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17">
        <v>4</v>
      </c>
    </row>
    <row r="25" spans="1:15" x14ac:dyDescent="0.4">
      <c r="A25" t="s">
        <v>54</v>
      </c>
      <c r="B25">
        <v>8</v>
      </c>
      <c r="C25" s="15">
        <v>2.69</v>
      </c>
      <c r="D25" t="s">
        <v>343</v>
      </c>
      <c r="E25" s="15">
        <v>2.69</v>
      </c>
      <c r="F25" s="14" t="s">
        <v>344</v>
      </c>
    </row>
    <row r="26" spans="1:15" x14ac:dyDescent="0.4">
      <c r="A26" t="s">
        <v>56</v>
      </c>
      <c r="B26" t="s">
        <v>57</v>
      </c>
      <c r="C26" s="15">
        <v>1.99</v>
      </c>
      <c r="D26" t="s">
        <v>345</v>
      </c>
      <c r="E26" s="15">
        <v>0.12</v>
      </c>
      <c r="F26" s="14" t="s">
        <v>346</v>
      </c>
    </row>
    <row r="27" spans="1:15" x14ac:dyDescent="0.4">
      <c r="A27" s="3" t="s">
        <v>60</v>
      </c>
      <c r="B27" t="s">
        <v>61</v>
      </c>
      <c r="C27" s="15">
        <v>7.99</v>
      </c>
      <c r="D27" t="s">
        <v>347</v>
      </c>
      <c r="E27" s="15">
        <v>3.99</v>
      </c>
      <c r="F27" s="14" t="s">
        <v>348</v>
      </c>
    </row>
    <row r="28" spans="1:15" x14ac:dyDescent="0.4">
      <c r="A28" t="s">
        <v>63</v>
      </c>
      <c r="B28" t="s">
        <v>64</v>
      </c>
      <c r="C28" s="15">
        <v>0.79</v>
      </c>
      <c r="D28" t="s">
        <v>302</v>
      </c>
      <c r="E28" s="15">
        <v>0.79</v>
      </c>
      <c r="F28" s="14" t="s">
        <v>349</v>
      </c>
    </row>
    <row r="29" spans="1:15" x14ac:dyDescent="0.4">
      <c r="A29" t="s">
        <v>66</v>
      </c>
      <c r="B29" t="s">
        <v>12</v>
      </c>
      <c r="C29" s="15">
        <v>2.39</v>
      </c>
      <c r="D29" t="s">
        <v>292</v>
      </c>
      <c r="E29" s="15">
        <v>0.6</v>
      </c>
      <c r="F29" s="14" t="s">
        <v>350</v>
      </c>
    </row>
    <row r="30" spans="1:15" x14ac:dyDescent="0.4">
      <c r="A30" t="s">
        <v>26</v>
      </c>
      <c r="B30" t="s">
        <v>68</v>
      </c>
      <c r="C30" s="15">
        <v>2.99</v>
      </c>
      <c r="D30" t="s">
        <v>330</v>
      </c>
      <c r="E30" s="15">
        <v>0.1</v>
      </c>
      <c r="F30" t="s">
        <v>69</v>
      </c>
    </row>
    <row r="31" spans="1:15" x14ac:dyDescent="0.4">
      <c r="A31" t="s">
        <v>70</v>
      </c>
      <c r="B31" t="s">
        <v>229</v>
      </c>
      <c r="C31" s="15">
        <v>10.99</v>
      </c>
      <c r="D31" t="s">
        <v>328</v>
      </c>
      <c r="E31" s="15">
        <v>0.35</v>
      </c>
      <c r="F31" t="s">
        <v>69</v>
      </c>
    </row>
    <row r="32" spans="1:15" x14ac:dyDescent="0.4">
      <c r="A32" s="1" t="s">
        <v>214</v>
      </c>
      <c r="C32" s="15">
        <f>SUM(C25:C31)</f>
        <v>29.830000000000005</v>
      </c>
      <c r="E32" s="15">
        <f>SUM(E25:E31)</f>
        <v>8.64</v>
      </c>
    </row>
    <row r="33" spans="1:15" x14ac:dyDescent="0.4">
      <c r="A33" s="11" t="s">
        <v>71</v>
      </c>
      <c r="C33" s="15"/>
      <c r="E33" s="15"/>
    </row>
    <row r="34" spans="1:15" x14ac:dyDescent="0.4">
      <c r="A34" s="1"/>
      <c r="C34" s="15"/>
      <c r="E34" s="15"/>
    </row>
    <row r="35" spans="1:15" x14ac:dyDescent="0.4">
      <c r="A35" s="29" t="s">
        <v>72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17">
        <v>6</v>
      </c>
    </row>
    <row r="36" spans="1:15" x14ac:dyDescent="0.4">
      <c r="A36" s="3" t="s">
        <v>73</v>
      </c>
      <c r="B36" t="s">
        <v>74</v>
      </c>
      <c r="C36" s="19">
        <v>7.29</v>
      </c>
      <c r="D36" s="20" t="s">
        <v>293</v>
      </c>
      <c r="E36" s="19">
        <v>7.29</v>
      </c>
      <c r="F36" s="14" t="s">
        <v>351</v>
      </c>
      <c r="G36" s="2"/>
      <c r="H36" s="2"/>
      <c r="I36" s="2"/>
      <c r="J36" s="2"/>
      <c r="K36" s="2"/>
      <c r="L36" s="2"/>
      <c r="M36" s="2"/>
      <c r="N36" s="2"/>
    </row>
    <row r="37" spans="1:15" x14ac:dyDescent="0.4">
      <c r="A37" s="3" t="s">
        <v>76</v>
      </c>
      <c r="B37" s="18">
        <v>1</v>
      </c>
      <c r="C37" s="19">
        <v>2.99</v>
      </c>
      <c r="D37" s="20" t="s">
        <v>352</v>
      </c>
      <c r="E37" s="19">
        <v>0.5</v>
      </c>
      <c r="F37" s="14" t="s">
        <v>353</v>
      </c>
      <c r="G37" s="19"/>
      <c r="H37" s="14"/>
      <c r="I37" s="2"/>
      <c r="J37" s="2"/>
      <c r="K37" s="2"/>
      <c r="L37" s="2"/>
      <c r="M37" s="2"/>
      <c r="N37" s="2"/>
    </row>
    <row r="38" spans="1:15" x14ac:dyDescent="0.4">
      <c r="A38" t="s">
        <v>79</v>
      </c>
      <c r="B38" t="s">
        <v>64</v>
      </c>
      <c r="C38" s="19">
        <v>0.99</v>
      </c>
      <c r="D38" s="20" t="s">
        <v>64</v>
      </c>
      <c r="E38" s="19">
        <v>0.99</v>
      </c>
      <c r="F38" s="14" t="s">
        <v>354</v>
      </c>
      <c r="G38" s="2"/>
      <c r="H38" s="2"/>
      <c r="I38" s="2"/>
      <c r="J38" s="2"/>
      <c r="K38" s="2"/>
      <c r="L38" s="2"/>
      <c r="M38" s="2"/>
      <c r="N38" s="2"/>
    </row>
    <row r="39" spans="1:15" x14ac:dyDescent="0.4">
      <c r="A39" t="s">
        <v>82</v>
      </c>
      <c r="B39" t="s">
        <v>83</v>
      </c>
      <c r="C39" s="19">
        <v>0.59</v>
      </c>
      <c r="D39" s="20" t="s">
        <v>83</v>
      </c>
      <c r="E39" s="19">
        <v>0.59</v>
      </c>
      <c r="F39" s="14" t="s">
        <v>355</v>
      </c>
      <c r="G39" s="2"/>
      <c r="H39" s="2"/>
      <c r="I39" s="2"/>
      <c r="J39" s="2"/>
      <c r="K39" s="2"/>
      <c r="L39" s="2"/>
      <c r="M39" s="2"/>
      <c r="N39" s="2"/>
    </row>
    <row r="40" spans="1:15" x14ac:dyDescent="0.4">
      <c r="A40" t="s">
        <v>230</v>
      </c>
      <c r="B40" t="s">
        <v>64</v>
      </c>
      <c r="C40" s="15">
        <v>0.79</v>
      </c>
      <c r="D40" t="s">
        <v>64</v>
      </c>
      <c r="E40" s="15">
        <v>0.79</v>
      </c>
      <c r="F40" s="14" t="s">
        <v>356</v>
      </c>
    </row>
    <row r="41" spans="1:15" x14ac:dyDescent="0.4">
      <c r="A41" t="s">
        <v>89</v>
      </c>
      <c r="B41" t="s">
        <v>64</v>
      </c>
      <c r="C41" s="15">
        <v>0.89</v>
      </c>
      <c r="D41" t="s">
        <v>64</v>
      </c>
      <c r="E41" s="15">
        <v>0.89</v>
      </c>
      <c r="F41" s="14" t="s">
        <v>357</v>
      </c>
    </row>
    <row r="42" spans="1:15" x14ac:dyDescent="0.4">
      <c r="A42" t="s">
        <v>26</v>
      </c>
      <c r="B42" t="s">
        <v>91</v>
      </c>
      <c r="C42" s="15">
        <v>2.99</v>
      </c>
      <c r="D42" t="s">
        <v>330</v>
      </c>
      <c r="E42" s="15">
        <v>0.1</v>
      </c>
      <c r="F42" t="s">
        <v>69</v>
      </c>
    </row>
    <row r="43" spans="1:15" x14ac:dyDescent="0.4">
      <c r="A43" t="s">
        <v>66</v>
      </c>
      <c r="B43" t="s">
        <v>92</v>
      </c>
      <c r="C43" s="15">
        <v>3.79</v>
      </c>
      <c r="D43" t="s">
        <v>358</v>
      </c>
      <c r="E43" s="15">
        <v>2.84</v>
      </c>
      <c r="F43" s="14" t="s">
        <v>350</v>
      </c>
    </row>
    <row r="44" spans="1:15" x14ac:dyDescent="0.4">
      <c r="A44" t="s">
        <v>93</v>
      </c>
      <c r="B44" t="s">
        <v>94</v>
      </c>
      <c r="C44" s="15">
        <v>4.99</v>
      </c>
      <c r="D44" t="s">
        <v>262</v>
      </c>
      <c r="E44" s="15">
        <v>2.4900000000000002</v>
      </c>
      <c r="F44" s="14" t="s">
        <v>359</v>
      </c>
    </row>
    <row r="45" spans="1:15" x14ac:dyDescent="0.4">
      <c r="A45" t="s">
        <v>96</v>
      </c>
      <c r="B45" t="s">
        <v>231</v>
      </c>
      <c r="C45" s="15">
        <v>1.69</v>
      </c>
      <c r="D45" t="s">
        <v>360</v>
      </c>
      <c r="E45" s="15">
        <v>1.69</v>
      </c>
      <c r="F45" s="14" t="s">
        <v>361</v>
      </c>
    </row>
    <row r="46" spans="1:15" x14ac:dyDescent="0.4">
      <c r="A46" s="1" t="s">
        <v>214</v>
      </c>
      <c r="C46" s="15">
        <f>SUM(C36:C45)</f>
        <v>27.000000000000004</v>
      </c>
      <c r="E46" s="15">
        <f>SUM(E36:E45)</f>
        <v>18.170000000000002</v>
      </c>
    </row>
    <row r="47" spans="1:15" x14ac:dyDescent="0.4">
      <c r="A47" s="11" t="s">
        <v>71</v>
      </c>
      <c r="C47" s="15"/>
      <c r="E47" s="15"/>
    </row>
    <row r="48" spans="1:15" x14ac:dyDescent="0.4">
      <c r="C48" s="15"/>
      <c r="E48" s="15"/>
    </row>
    <row r="49" spans="1:15" x14ac:dyDescent="0.4">
      <c r="A49" s="29" t="s">
        <v>99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17">
        <v>4</v>
      </c>
    </row>
    <row r="50" spans="1:15" x14ac:dyDescent="0.4">
      <c r="A50" t="s">
        <v>100</v>
      </c>
      <c r="B50" t="s">
        <v>101</v>
      </c>
      <c r="C50" s="15">
        <v>3.49</v>
      </c>
      <c r="D50" t="s">
        <v>301</v>
      </c>
      <c r="E50" s="15">
        <v>0.35</v>
      </c>
      <c r="F50" s="14" t="s">
        <v>362</v>
      </c>
    </row>
    <row r="51" spans="1:15" x14ac:dyDescent="0.4">
      <c r="A51" t="s">
        <v>103</v>
      </c>
      <c r="B51" t="s">
        <v>104</v>
      </c>
      <c r="C51" s="15">
        <v>3.69</v>
      </c>
      <c r="D51" t="s">
        <v>363</v>
      </c>
      <c r="E51" s="15">
        <v>0.05</v>
      </c>
      <c r="F51" s="14" t="s">
        <v>364</v>
      </c>
    </row>
    <row r="52" spans="1:15" x14ac:dyDescent="0.4">
      <c r="A52" s="3" t="s">
        <v>106</v>
      </c>
      <c r="B52" t="s">
        <v>47</v>
      </c>
      <c r="C52" s="15">
        <v>2.19</v>
      </c>
      <c r="D52" t="s">
        <v>365</v>
      </c>
      <c r="E52" s="15">
        <v>0.16</v>
      </c>
      <c r="F52" s="14" t="s">
        <v>366</v>
      </c>
    </row>
    <row r="53" spans="1:15" x14ac:dyDescent="0.4">
      <c r="A53" s="3" t="s">
        <v>108</v>
      </c>
      <c r="B53" t="s">
        <v>109</v>
      </c>
      <c r="C53" s="15">
        <v>0.89</v>
      </c>
      <c r="D53" t="s">
        <v>302</v>
      </c>
      <c r="E53" s="15">
        <v>0.01</v>
      </c>
      <c r="F53" s="14" t="s">
        <v>367</v>
      </c>
    </row>
    <row r="54" spans="1:15" x14ac:dyDescent="0.4">
      <c r="A54" t="s">
        <v>111</v>
      </c>
      <c r="B54" t="s">
        <v>109</v>
      </c>
      <c r="C54" s="15">
        <v>2.99</v>
      </c>
      <c r="D54" t="s">
        <v>368</v>
      </c>
      <c r="E54" s="15">
        <v>0.1</v>
      </c>
      <c r="F54" t="s">
        <v>69</v>
      </c>
    </row>
    <row r="55" spans="1:15" x14ac:dyDescent="0.4">
      <c r="A55" t="s">
        <v>113</v>
      </c>
      <c r="B55" t="s">
        <v>114</v>
      </c>
      <c r="C55" s="15">
        <v>1.89</v>
      </c>
      <c r="D55" t="s">
        <v>313</v>
      </c>
      <c r="E55" s="15">
        <v>1.06</v>
      </c>
      <c r="F55" s="14" t="s">
        <v>369</v>
      </c>
    </row>
    <row r="56" spans="1:15" x14ac:dyDescent="0.4">
      <c r="A56" t="s">
        <v>116</v>
      </c>
      <c r="B56">
        <v>2</v>
      </c>
      <c r="C56" s="15">
        <v>2</v>
      </c>
      <c r="D56" t="s">
        <v>370</v>
      </c>
      <c r="E56" s="15">
        <v>0.33</v>
      </c>
      <c r="F56" s="14" t="s">
        <v>371</v>
      </c>
    </row>
    <row r="57" spans="1:15" x14ac:dyDescent="0.4">
      <c r="A57" t="s">
        <v>118</v>
      </c>
      <c r="B57" t="s">
        <v>119</v>
      </c>
      <c r="C57" s="15">
        <v>1.99</v>
      </c>
      <c r="D57" t="s">
        <v>328</v>
      </c>
      <c r="E57" s="15">
        <v>0.25</v>
      </c>
      <c r="F57" s="14" t="s">
        <v>372</v>
      </c>
    </row>
    <row r="58" spans="1:15" x14ac:dyDescent="0.4">
      <c r="A58" s="1" t="s">
        <v>214</v>
      </c>
      <c r="C58" s="15">
        <f>SUM(C50:C57)</f>
        <v>19.13</v>
      </c>
      <c r="E58" s="15">
        <f>SUM(E50:E57)</f>
        <v>2.31</v>
      </c>
    </row>
    <row r="59" spans="1:15" x14ac:dyDescent="0.4">
      <c r="A59" s="13" t="s">
        <v>121</v>
      </c>
      <c r="C59" s="15"/>
      <c r="E59" s="15"/>
    </row>
    <row r="60" spans="1:15" x14ac:dyDescent="0.4">
      <c r="A60" s="11"/>
      <c r="C60" s="15"/>
      <c r="E60" s="15"/>
    </row>
    <row r="61" spans="1:15" x14ac:dyDescent="0.4">
      <c r="A61" s="29" t="s">
        <v>122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17">
        <v>2</v>
      </c>
    </row>
    <row r="62" spans="1:15" x14ac:dyDescent="0.4">
      <c r="A62" t="s">
        <v>123</v>
      </c>
      <c r="B62" t="s">
        <v>124</v>
      </c>
      <c r="C62" s="15">
        <v>1.99</v>
      </c>
      <c r="D62" t="s">
        <v>373</v>
      </c>
      <c r="E62" s="15">
        <v>0.56000000000000005</v>
      </c>
      <c r="F62" s="14" t="s">
        <v>374</v>
      </c>
    </row>
    <row r="63" spans="1:15" x14ac:dyDescent="0.4">
      <c r="A63" t="s">
        <v>126</v>
      </c>
      <c r="B63" t="s">
        <v>127</v>
      </c>
      <c r="C63" s="15">
        <v>7.99</v>
      </c>
      <c r="D63" t="s">
        <v>347</v>
      </c>
      <c r="E63" s="15">
        <v>2.66</v>
      </c>
      <c r="F63" t="s">
        <v>69</v>
      </c>
    </row>
    <row r="64" spans="1:15" x14ac:dyDescent="0.4">
      <c r="A64" t="s">
        <v>134</v>
      </c>
      <c r="B64" t="s">
        <v>38</v>
      </c>
      <c r="C64" s="15">
        <v>2.39</v>
      </c>
      <c r="D64" t="s">
        <v>375</v>
      </c>
      <c r="E64" s="15">
        <v>0.45</v>
      </c>
      <c r="F64" s="14" t="s">
        <v>376</v>
      </c>
    </row>
    <row r="65" spans="1:15" x14ac:dyDescent="0.4">
      <c r="A65" s="3" t="s">
        <v>137</v>
      </c>
      <c r="B65" t="s">
        <v>138</v>
      </c>
      <c r="C65" s="15">
        <v>1.59</v>
      </c>
      <c r="D65" t="s">
        <v>283</v>
      </c>
      <c r="E65" s="15">
        <v>0.15</v>
      </c>
      <c r="F65" s="14" t="s">
        <v>377</v>
      </c>
    </row>
    <row r="66" spans="1:15" x14ac:dyDescent="0.4">
      <c r="A66" t="s">
        <v>140</v>
      </c>
      <c r="B66" t="s">
        <v>22</v>
      </c>
      <c r="C66" s="15">
        <v>2</v>
      </c>
      <c r="D66" t="s">
        <v>328</v>
      </c>
      <c r="E66" s="15">
        <v>0.13</v>
      </c>
      <c r="F66" s="14" t="s">
        <v>378</v>
      </c>
    </row>
    <row r="67" spans="1:15" x14ac:dyDescent="0.4">
      <c r="A67" s="1" t="s">
        <v>214</v>
      </c>
      <c r="C67" s="15">
        <f>SUM(C61:C66)</f>
        <v>15.96</v>
      </c>
      <c r="E67" s="15">
        <f>SUM(E61:E66)</f>
        <v>3.95</v>
      </c>
    </row>
    <row r="68" spans="1:15" x14ac:dyDescent="0.4">
      <c r="A68" s="13" t="s">
        <v>142</v>
      </c>
      <c r="C68" s="15"/>
      <c r="E68" s="15"/>
    </row>
    <row r="69" spans="1:15" x14ac:dyDescent="0.4">
      <c r="A69" s="11"/>
      <c r="C69" s="15"/>
      <c r="E69" s="15"/>
    </row>
    <row r="70" spans="1:15" x14ac:dyDescent="0.4">
      <c r="A70" s="29" t="s">
        <v>143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17">
        <v>4</v>
      </c>
    </row>
    <row r="71" spans="1:15" x14ac:dyDescent="0.4">
      <c r="A71" t="s">
        <v>144</v>
      </c>
      <c r="B71">
        <v>3</v>
      </c>
      <c r="C71" s="15">
        <v>2.99</v>
      </c>
      <c r="D71" t="s">
        <v>379</v>
      </c>
      <c r="E71" s="15">
        <v>1.49</v>
      </c>
      <c r="F71" s="14" t="s">
        <v>380</v>
      </c>
    </row>
    <row r="72" spans="1:15" x14ac:dyDescent="0.4">
      <c r="A72" t="s">
        <v>145</v>
      </c>
      <c r="B72">
        <v>1</v>
      </c>
      <c r="C72" s="15">
        <v>1.99</v>
      </c>
      <c r="D72" t="s">
        <v>373</v>
      </c>
      <c r="E72" s="15">
        <v>0.67</v>
      </c>
      <c r="F72" s="14" t="s">
        <v>381</v>
      </c>
    </row>
    <row r="73" spans="1:15" x14ac:dyDescent="0.4">
      <c r="A73" t="s">
        <v>146</v>
      </c>
      <c r="B73">
        <v>1</v>
      </c>
      <c r="C73" s="15">
        <v>1.67</v>
      </c>
      <c r="D73" t="s">
        <v>382</v>
      </c>
      <c r="E73" s="15">
        <v>0.84</v>
      </c>
      <c r="F73" s="14" t="s">
        <v>383</v>
      </c>
    </row>
    <row r="74" spans="1:15" x14ac:dyDescent="0.4">
      <c r="A74" t="s">
        <v>147</v>
      </c>
      <c r="B74" t="s">
        <v>148</v>
      </c>
      <c r="C74" s="15">
        <v>10.99</v>
      </c>
      <c r="D74" t="s">
        <v>328</v>
      </c>
      <c r="E74" s="15">
        <v>0.35</v>
      </c>
      <c r="F74" t="s">
        <v>69</v>
      </c>
    </row>
    <row r="75" spans="1:15" x14ac:dyDescent="0.4">
      <c r="A75" t="s">
        <v>73</v>
      </c>
      <c r="B75" t="s">
        <v>149</v>
      </c>
      <c r="C75" s="19">
        <v>7.29</v>
      </c>
      <c r="D75" s="20" t="s">
        <v>293</v>
      </c>
      <c r="E75" s="19">
        <v>7.29</v>
      </c>
      <c r="F75" t="s">
        <v>69</v>
      </c>
    </row>
    <row r="76" spans="1:15" x14ac:dyDescent="0.4">
      <c r="A76" t="s">
        <v>150</v>
      </c>
      <c r="B76" t="s">
        <v>101</v>
      </c>
      <c r="C76" s="15">
        <v>2.5</v>
      </c>
      <c r="D76" t="s">
        <v>313</v>
      </c>
      <c r="E76" s="15">
        <v>1.25</v>
      </c>
      <c r="F76" s="14" t="s">
        <v>384</v>
      </c>
    </row>
    <row r="77" spans="1:15" x14ac:dyDescent="0.4">
      <c r="A77" t="s">
        <v>151</v>
      </c>
      <c r="B77" t="s">
        <v>17</v>
      </c>
      <c r="C77" s="15">
        <v>9.39</v>
      </c>
      <c r="D77" t="s">
        <v>385</v>
      </c>
      <c r="E77" s="15">
        <v>0.66</v>
      </c>
      <c r="F77" s="14" t="s">
        <v>386</v>
      </c>
    </row>
    <row r="78" spans="1:15" x14ac:dyDescent="0.4">
      <c r="A78" t="s">
        <v>152</v>
      </c>
      <c r="B78" t="s">
        <v>68</v>
      </c>
      <c r="C78" s="15">
        <v>1.39</v>
      </c>
      <c r="D78" t="s">
        <v>387</v>
      </c>
      <c r="E78" s="15">
        <v>0.05</v>
      </c>
      <c r="F78" s="14" t="s">
        <v>388</v>
      </c>
    </row>
    <row r="79" spans="1:15" x14ac:dyDescent="0.4">
      <c r="A79" t="s">
        <v>111</v>
      </c>
      <c r="B79" t="s">
        <v>68</v>
      </c>
      <c r="C79" s="15">
        <v>2.99</v>
      </c>
      <c r="D79" t="s">
        <v>368</v>
      </c>
      <c r="E79" s="15">
        <v>0.1</v>
      </c>
      <c r="F79" t="s">
        <v>69</v>
      </c>
    </row>
    <row r="80" spans="1:15" x14ac:dyDescent="0.4">
      <c r="A80" t="s">
        <v>153</v>
      </c>
      <c r="B80" t="s">
        <v>148</v>
      </c>
      <c r="C80" s="15">
        <v>2.99</v>
      </c>
      <c r="D80" t="s">
        <v>266</v>
      </c>
      <c r="E80" s="15">
        <v>0.16</v>
      </c>
      <c r="F80" t="s">
        <v>69</v>
      </c>
    </row>
    <row r="81" spans="1:15" x14ac:dyDescent="0.4">
      <c r="A81" t="s">
        <v>154</v>
      </c>
      <c r="B81" t="s">
        <v>68</v>
      </c>
      <c r="C81" s="15">
        <v>1.99</v>
      </c>
      <c r="D81" t="s">
        <v>389</v>
      </c>
      <c r="E81" s="15">
        <v>7.0000000000000007E-2</v>
      </c>
      <c r="F81" s="14" t="s">
        <v>390</v>
      </c>
    </row>
    <row r="82" spans="1:15" x14ac:dyDescent="0.4">
      <c r="A82" t="s">
        <v>155</v>
      </c>
      <c r="B82" t="s">
        <v>68</v>
      </c>
      <c r="C82" s="15">
        <v>1.79</v>
      </c>
      <c r="D82" t="s">
        <v>391</v>
      </c>
      <c r="E82" s="15">
        <v>7.0000000000000007E-2</v>
      </c>
      <c r="F82" s="14" t="s">
        <v>392</v>
      </c>
    </row>
    <row r="83" spans="1:15" x14ac:dyDescent="0.4">
      <c r="A83" s="1" t="s">
        <v>214</v>
      </c>
      <c r="C83" s="15">
        <f>SUM(C71:C82)</f>
        <v>47.970000000000006</v>
      </c>
      <c r="E83" s="15">
        <f>SUM(E71:E82)</f>
        <v>13.000000000000002</v>
      </c>
    </row>
    <row r="84" spans="1:15" x14ac:dyDescent="0.4">
      <c r="A84" s="11" t="s">
        <v>71</v>
      </c>
      <c r="C84" s="15"/>
      <c r="E84" s="15"/>
    </row>
    <row r="85" spans="1:15" x14ac:dyDescent="0.4">
      <c r="C85" s="15"/>
      <c r="E85" s="15"/>
    </row>
    <row r="86" spans="1:15" x14ac:dyDescent="0.4">
      <c r="A86" s="29" t="s">
        <v>194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17">
        <v>4</v>
      </c>
    </row>
    <row r="87" spans="1:15" x14ac:dyDescent="0.4">
      <c r="A87" t="s">
        <v>73</v>
      </c>
      <c r="B87" t="s">
        <v>149</v>
      </c>
      <c r="C87" s="19">
        <v>7.29</v>
      </c>
      <c r="D87" s="20" t="s">
        <v>293</v>
      </c>
      <c r="E87" s="19">
        <v>7.29</v>
      </c>
      <c r="F87" t="s">
        <v>69</v>
      </c>
    </row>
    <row r="88" spans="1:15" x14ac:dyDescent="0.4">
      <c r="A88" t="s">
        <v>145</v>
      </c>
      <c r="B88" s="9">
        <v>0.5</v>
      </c>
      <c r="C88" s="15">
        <v>1.99</v>
      </c>
      <c r="D88" t="s">
        <v>373</v>
      </c>
      <c r="E88" s="15">
        <v>0.34</v>
      </c>
      <c r="F88" t="s">
        <v>69</v>
      </c>
    </row>
    <row r="89" spans="1:15" x14ac:dyDescent="0.4">
      <c r="A89" t="s">
        <v>157</v>
      </c>
      <c r="B89" s="8" t="s">
        <v>17</v>
      </c>
      <c r="C89" s="15">
        <v>1.59</v>
      </c>
      <c r="D89" t="s">
        <v>296</v>
      </c>
      <c r="E89" s="15">
        <v>0.53</v>
      </c>
      <c r="F89" s="14" t="s">
        <v>393</v>
      </c>
    </row>
    <row r="90" spans="1:15" x14ac:dyDescent="0.4">
      <c r="A90" t="s">
        <v>158</v>
      </c>
      <c r="B90">
        <v>1</v>
      </c>
      <c r="C90" s="15">
        <v>2</v>
      </c>
      <c r="D90" t="s">
        <v>370</v>
      </c>
      <c r="E90" s="15">
        <v>0.17</v>
      </c>
      <c r="F90" t="s">
        <v>69</v>
      </c>
    </row>
    <row r="91" spans="1:15" x14ac:dyDescent="0.4">
      <c r="A91" t="s">
        <v>232</v>
      </c>
      <c r="B91" t="s">
        <v>38</v>
      </c>
      <c r="C91" s="15">
        <v>1.79</v>
      </c>
      <c r="D91" t="s">
        <v>313</v>
      </c>
      <c r="E91" s="15">
        <v>0.11</v>
      </c>
      <c r="F91" t="s">
        <v>69</v>
      </c>
    </row>
    <row r="92" spans="1:15" x14ac:dyDescent="0.4">
      <c r="A92" t="s">
        <v>26</v>
      </c>
      <c r="B92" t="s">
        <v>68</v>
      </c>
      <c r="C92" s="15">
        <v>2.99</v>
      </c>
      <c r="D92" t="s">
        <v>330</v>
      </c>
      <c r="E92" s="15">
        <v>0.1</v>
      </c>
      <c r="F92" t="s">
        <v>69</v>
      </c>
    </row>
    <row r="93" spans="1:15" x14ac:dyDescent="0.4">
      <c r="A93" t="s">
        <v>147</v>
      </c>
      <c r="B93" t="s">
        <v>148</v>
      </c>
      <c r="C93" s="15">
        <v>10.99</v>
      </c>
      <c r="D93" t="s">
        <v>328</v>
      </c>
      <c r="E93" s="15">
        <v>0.35</v>
      </c>
      <c r="F93" t="s">
        <v>69</v>
      </c>
    </row>
    <row r="94" spans="1:15" x14ac:dyDescent="0.4">
      <c r="A94" s="1" t="s">
        <v>214</v>
      </c>
      <c r="C94" s="15">
        <f>SUM(C87:C93)</f>
        <v>28.64</v>
      </c>
      <c r="E94" s="15">
        <f>SUM(E87:E93)</f>
        <v>8.8899999999999988</v>
      </c>
    </row>
    <row r="95" spans="1:15" x14ac:dyDescent="0.4">
      <c r="A95" s="11" t="s">
        <v>71</v>
      </c>
      <c r="C95" s="15"/>
      <c r="E95" s="15"/>
    </row>
    <row r="96" spans="1:15" x14ac:dyDescent="0.4">
      <c r="C96" s="15"/>
      <c r="E96" s="15"/>
    </row>
    <row r="97" spans="1:15" x14ac:dyDescent="0.4">
      <c r="A97" s="29" t="s">
        <v>159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17">
        <v>4</v>
      </c>
    </row>
    <row r="98" spans="1:15" x14ac:dyDescent="0.4">
      <c r="A98" t="s">
        <v>73</v>
      </c>
      <c r="B98" t="s">
        <v>160</v>
      </c>
      <c r="C98" s="19">
        <v>7.29</v>
      </c>
      <c r="D98" s="20" t="s">
        <v>293</v>
      </c>
      <c r="E98" s="19">
        <v>3.65</v>
      </c>
      <c r="F98" t="s">
        <v>69</v>
      </c>
    </row>
    <row r="99" spans="1:15" x14ac:dyDescent="0.4">
      <c r="A99" t="s">
        <v>161</v>
      </c>
      <c r="B99" t="s">
        <v>17</v>
      </c>
      <c r="C99" s="15">
        <v>9.39</v>
      </c>
      <c r="D99" t="s">
        <v>385</v>
      </c>
      <c r="E99" s="15">
        <v>0.66</v>
      </c>
      <c r="F99" t="s">
        <v>69</v>
      </c>
    </row>
    <row r="100" spans="1:15" x14ac:dyDescent="0.4">
      <c r="A100" t="s">
        <v>162</v>
      </c>
      <c r="B100">
        <v>2</v>
      </c>
      <c r="C100" s="15">
        <v>1.99</v>
      </c>
      <c r="D100" t="s">
        <v>394</v>
      </c>
      <c r="E100" s="15">
        <v>1.99</v>
      </c>
      <c r="F100" s="14" t="s">
        <v>395</v>
      </c>
    </row>
    <row r="101" spans="1:15" x14ac:dyDescent="0.4">
      <c r="A101" t="s">
        <v>163</v>
      </c>
      <c r="B101" t="s">
        <v>17</v>
      </c>
      <c r="C101" s="15">
        <v>2.39</v>
      </c>
      <c r="D101" t="s">
        <v>292</v>
      </c>
      <c r="E101" s="15">
        <v>1.2</v>
      </c>
      <c r="F101" s="14" t="s">
        <v>396</v>
      </c>
    </row>
    <row r="102" spans="1:15" x14ac:dyDescent="0.4">
      <c r="A102" t="s">
        <v>158</v>
      </c>
      <c r="B102">
        <v>2</v>
      </c>
      <c r="C102" s="15">
        <v>2</v>
      </c>
      <c r="D102" t="s">
        <v>370</v>
      </c>
      <c r="E102" s="15">
        <v>0.33</v>
      </c>
      <c r="F102" t="s">
        <v>69</v>
      </c>
    </row>
    <row r="103" spans="1:15" x14ac:dyDescent="0.4">
      <c r="A103" t="s">
        <v>164</v>
      </c>
      <c r="B103">
        <v>4</v>
      </c>
      <c r="C103" s="15">
        <v>2.69</v>
      </c>
      <c r="D103" t="s">
        <v>343</v>
      </c>
      <c r="E103" s="15">
        <v>1.35</v>
      </c>
      <c r="F103" t="s">
        <v>69</v>
      </c>
    </row>
    <row r="104" spans="1:15" x14ac:dyDescent="0.4">
      <c r="A104" t="s">
        <v>147</v>
      </c>
      <c r="B104" t="s">
        <v>22</v>
      </c>
      <c r="C104" s="15">
        <v>10.99</v>
      </c>
      <c r="D104" t="s">
        <v>328</v>
      </c>
      <c r="E104" s="15">
        <v>0.7</v>
      </c>
      <c r="F104" t="s">
        <v>69</v>
      </c>
    </row>
    <row r="105" spans="1:15" x14ac:dyDescent="0.4">
      <c r="A105" s="1" t="s">
        <v>214</v>
      </c>
      <c r="C105" s="15">
        <f>SUM(C98:C104)</f>
        <v>36.74</v>
      </c>
      <c r="E105" s="15">
        <f>SUM(E98:E104)</f>
        <v>9.879999999999999</v>
      </c>
    </row>
    <row r="106" spans="1:15" x14ac:dyDescent="0.4">
      <c r="A106" s="11" t="s">
        <v>71</v>
      </c>
      <c r="C106" s="15"/>
      <c r="E106" s="15"/>
    </row>
    <row r="107" spans="1:15" x14ac:dyDescent="0.4">
      <c r="C107" s="15"/>
      <c r="E107" s="15"/>
    </row>
    <row r="108" spans="1:15" x14ac:dyDescent="0.4">
      <c r="A108" s="29" t="s">
        <v>165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17">
        <v>1</v>
      </c>
    </row>
    <row r="109" spans="1:15" x14ac:dyDescent="0.4">
      <c r="A109" t="s">
        <v>166</v>
      </c>
      <c r="B109" t="s">
        <v>167</v>
      </c>
      <c r="C109" s="15">
        <v>4.79</v>
      </c>
      <c r="D109" t="s">
        <v>397</v>
      </c>
      <c r="E109" s="15">
        <v>0.6</v>
      </c>
      <c r="F109" s="14" t="s">
        <v>398</v>
      </c>
    </row>
    <row r="110" spans="1:15" x14ac:dyDescent="0.4">
      <c r="A110" t="s">
        <v>168</v>
      </c>
      <c r="B110" t="s">
        <v>169</v>
      </c>
      <c r="C110" s="15">
        <v>4.99</v>
      </c>
      <c r="D110" t="s">
        <v>399</v>
      </c>
      <c r="E110" s="15">
        <v>0.21</v>
      </c>
      <c r="F110" s="14" t="s">
        <v>400</v>
      </c>
    </row>
    <row r="111" spans="1:15" x14ac:dyDescent="0.4">
      <c r="A111" t="s">
        <v>170</v>
      </c>
      <c r="B111" t="s">
        <v>68</v>
      </c>
      <c r="C111" s="15">
        <v>2.99</v>
      </c>
      <c r="D111" t="s">
        <v>401</v>
      </c>
      <c r="E111" s="15">
        <v>0.03</v>
      </c>
      <c r="F111" s="14" t="s">
        <v>402</v>
      </c>
    </row>
    <row r="112" spans="1:15" x14ac:dyDescent="0.4">
      <c r="A112" t="s">
        <v>171</v>
      </c>
      <c r="B112" t="s">
        <v>172</v>
      </c>
      <c r="C112" s="15">
        <v>1.67</v>
      </c>
      <c r="D112" t="s">
        <v>403</v>
      </c>
      <c r="E112" s="15">
        <v>0.03</v>
      </c>
      <c r="F112" s="14" t="s">
        <v>404</v>
      </c>
    </row>
    <row r="113" spans="1:6" x14ac:dyDescent="0.4">
      <c r="A113" t="s">
        <v>162</v>
      </c>
      <c r="B113" s="8" t="s">
        <v>173</v>
      </c>
      <c r="C113" s="15">
        <v>1.99</v>
      </c>
      <c r="D113" t="s">
        <v>394</v>
      </c>
      <c r="E113" s="15">
        <v>0.99</v>
      </c>
      <c r="F113" t="s">
        <v>69</v>
      </c>
    </row>
    <row r="114" spans="1:6" x14ac:dyDescent="0.4">
      <c r="A114" t="s">
        <v>174</v>
      </c>
      <c r="B114" t="s">
        <v>175</v>
      </c>
      <c r="C114" s="15">
        <v>1.99</v>
      </c>
      <c r="D114" t="s">
        <v>373</v>
      </c>
      <c r="E114" s="15">
        <v>0.45</v>
      </c>
      <c r="F114" t="s">
        <v>69</v>
      </c>
    </row>
    <row r="115" spans="1:6" x14ac:dyDescent="0.4">
      <c r="A115" t="s">
        <v>176</v>
      </c>
      <c r="B115" t="s">
        <v>167</v>
      </c>
      <c r="C115" s="15">
        <v>2.4900000000000002</v>
      </c>
      <c r="D115" t="s">
        <v>405</v>
      </c>
      <c r="E115" s="15">
        <v>0.3</v>
      </c>
      <c r="F115" s="14" t="s">
        <v>406</v>
      </c>
    </row>
    <row r="116" spans="1:6" x14ac:dyDescent="0.4">
      <c r="A116" t="s">
        <v>177</v>
      </c>
      <c r="B116" t="s">
        <v>173</v>
      </c>
      <c r="C116" s="15">
        <v>0.89</v>
      </c>
      <c r="D116" t="s">
        <v>394</v>
      </c>
      <c r="E116" s="15">
        <v>0.45</v>
      </c>
      <c r="F116" s="14" t="s">
        <v>407</v>
      </c>
    </row>
    <row r="117" spans="1:6" x14ac:dyDescent="0.4">
      <c r="A117" t="s">
        <v>178</v>
      </c>
      <c r="B117" t="s">
        <v>179</v>
      </c>
      <c r="C117" s="15">
        <v>1.99</v>
      </c>
      <c r="D117" t="s">
        <v>322</v>
      </c>
      <c r="E117" s="15">
        <v>0.2</v>
      </c>
      <c r="F117" s="14" t="s">
        <v>408</v>
      </c>
    </row>
    <row r="118" spans="1:6" x14ac:dyDescent="0.4">
      <c r="A118" t="s">
        <v>180</v>
      </c>
      <c r="B118" t="s">
        <v>38</v>
      </c>
      <c r="C118" s="15">
        <v>1.99</v>
      </c>
      <c r="D118" t="s">
        <v>409</v>
      </c>
      <c r="E118" s="15">
        <v>0.28999999999999998</v>
      </c>
      <c r="F118" s="14" t="s">
        <v>410</v>
      </c>
    </row>
    <row r="119" spans="1:6" x14ac:dyDescent="0.4">
      <c r="A119" t="s">
        <v>26</v>
      </c>
      <c r="B119" t="s">
        <v>182</v>
      </c>
      <c r="C119" s="15">
        <v>2.99</v>
      </c>
      <c r="D119" t="s">
        <v>330</v>
      </c>
      <c r="E119" s="15">
        <v>0.1</v>
      </c>
      <c r="F119" t="s">
        <v>69</v>
      </c>
    </row>
    <row r="120" spans="1:6" x14ac:dyDescent="0.4">
      <c r="A120" s="1" t="s">
        <v>214</v>
      </c>
      <c r="C120" s="15">
        <f>SUM(C109:C119)</f>
        <v>28.769999999999996</v>
      </c>
      <c r="E120" s="15">
        <f>SUM(E109:E119)</f>
        <v>3.6500000000000004</v>
      </c>
    </row>
    <row r="121" spans="1:6" x14ac:dyDescent="0.4">
      <c r="A121" s="11" t="s">
        <v>71</v>
      </c>
      <c r="C121" s="15"/>
      <c r="E121" s="15"/>
    </row>
    <row r="122" spans="1:6" x14ac:dyDescent="0.4">
      <c r="C122" s="15"/>
      <c r="E122" s="15"/>
    </row>
  </sheetData>
  <mergeCells count="10">
    <mergeCell ref="A97:N97"/>
    <mergeCell ref="A108:N108"/>
    <mergeCell ref="A3:N3"/>
    <mergeCell ref="A14:N14"/>
    <mergeCell ref="A24:N24"/>
    <mergeCell ref="A35:N35"/>
    <mergeCell ref="A49:N49"/>
    <mergeCell ref="A61:N61"/>
    <mergeCell ref="A70:N70"/>
    <mergeCell ref="A86:N86"/>
  </mergeCells>
  <hyperlinks>
    <hyperlink ref="F4" r:id="rId1" xr:uid="{291A7410-3F2F-4EB1-8ED7-4C3EEFE39E51}"/>
    <hyperlink ref="F5" r:id="rId2" xr:uid="{E4ABD06C-7FF1-4A47-BBA7-9D0947DDA642}"/>
    <hyperlink ref="F6" r:id="rId3" xr:uid="{BE393F12-18E9-4AEE-BCD1-5856E841DA7D}"/>
    <hyperlink ref="F7" r:id="rId4" xr:uid="{9F13F872-E6F5-468A-BCD6-4B903F64D550}"/>
    <hyperlink ref="F8" r:id="rId5" xr:uid="{5AD6031B-AA5D-4A54-BF30-613781C61ECE}"/>
    <hyperlink ref="F9" r:id="rId6" xr:uid="{76E294E6-C82A-483A-8B8F-AEC82A84885D}"/>
    <hyperlink ref="F10" r:id="rId7" xr:uid="{B4C77A30-A5CE-4FC3-9703-20E0AACE6BE9}"/>
    <hyperlink ref="F15" r:id="rId8" xr:uid="{2BD52155-18F9-433E-8A1A-1AFCB3A18EED}"/>
    <hyperlink ref="F16" r:id="rId9" xr:uid="{2C11F7D3-165B-4B91-8170-0191E46D3047}"/>
    <hyperlink ref="F17" r:id="rId10" xr:uid="{E2AAE36C-DCA2-4F28-99A2-8B6DA7483170}"/>
    <hyperlink ref="F19" r:id="rId11" display="1 lb Container of Strawberries - Wei" xr:uid="{214E3E71-C024-488F-80A2-063AC0BDE0A9}"/>
    <hyperlink ref="F18" r:id="rId12" xr:uid="{759A0BF9-4313-43A7-8131-D166B62D3EB3}"/>
    <hyperlink ref="F20" r:id="rId13" xr:uid="{52E43DAF-BC07-48AB-9E57-FE582C0ADB49}"/>
    <hyperlink ref="F25" r:id="rId14" xr:uid="{F3FB3E69-A3BC-4B1F-AF4F-98C5D8D00B9C}"/>
    <hyperlink ref="F26" r:id="rId15" xr:uid="{7732FBA5-860C-4B61-A082-DC2B803CACEC}"/>
    <hyperlink ref="F27" r:id="rId16" xr:uid="{ED3D7AAF-67B2-4A2A-8B67-05BA55AC16E3}"/>
    <hyperlink ref="F29" r:id="rId17" xr:uid="{422BF107-EC5A-46BE-83C7-497180F097E9}"/>
    <hyperlink ref="F37" r:id="rId18" xr:uid="{4E604689-E423-4507-B834-B2E10B910B70}"/>
    <hyperlink ref="F38" r:id="rId19" xr:uid="{1854CD09-462B-47ED-9812-41F9EF68E178}"/>
    <hyperlink ref="F39" r:id="rId20" xr:uid="{98BF182B-2D6F-471B-833E-7988BBB1DAB1}"/>
    <hyperlink ref="F43" r:id="rId21" xr:uid="{1D69A323-ECA9-4209-B300-9BF1C0961D46}"/>
    <hyperlink ref="F44" r:id="rId22" xr:uid="{81D60164-CE24-42EA-8114-2CD9A70F3846}"/>
    <hyperlink ref="F45" r:id="rId23" xr:uid="{0E6ABDA0-6A6A-41F1-93C9-228D17E8CDFA}"/>
    <hyperlink ref="F36" r:id="rId24" xr:uid="{A58BD130-09FB-449B-BA23-1A4204A4C756}"/>
    <hyperlink ref="F40" r:id="rId25" xr:uid="{4FEA43DE-485E-41D0-8E16-D39976CD2BEE}"/>
    <hyperlink ref="F41" r:id="rId26" xr:uid="{A65E18C6-75C8-49FC-A873-A79071F1E91D}"/>
    <hyperlink ref="F50" r:id="rId27" xr:uid="{B0917B12-022C-4BCA-AE2C-9B59CE54284A}"/>
    <hyperlink ref="F51" r:id="rId28" display="White Sugar - Wei" xr:uid="{AE68DAAF-8530-40AE-A434-85FCE475F227}"/>
    <hyperlink ref="F28" r:id="rId29" xr:uid="{78593DC1-08C5-4B52-8911-BC90E321C84D}"/>
    <hyperlink ref="F52" r:id="rId30" xr:uid="{7599C25E-8169-4349-8F39-B566B91E130A}"/>
    <hyperlink ref="F53" r:id="rId31" xr:uid="{37A5A32C-AA46-4A05-8DA7-24F3CF5C608B}"/>
    <hyperlink ref="F55" r:id="rId32" xr:uid="{C947435B-FAF7-4348-A96E-D45274A7263D}"/>
    <hyperlink ref="F56" r:id="rId33" xr:uid="{2B1D4B12-5DDB-4C7E-9270-AD6821EC0CB1}"/>
    <hyperlink ref="F57" r:id="rId34" xr:uid="{FD5E71E7-07B9-4A09-B641-E85FBA322B4A}"/>
    <hyperlink ref="F62" r:id="rId35" xr:uid="{AC23C482-C5F7-45AA-BEF2-F882FB771322}"/>
    <hyperlink ref="F64" r:id="rId36" xr:uid="{470B6A4C-2030-4B67-B64F-84429298109B}"/>
    <hyperlink ref="F65" r:id="rId37" xr:uid="{BA892E8F-E2DE-4FFF-8CFC-BF9217DB3919}"/>
    <hyperlink ref="F66" r:id="rId38" xr:uid="{00B12D35-95C5-4245-AB14-B526400D4CED}"/>
    <hyperlink ref="F71" r:id="rId39" xr:uid="{DC13069E-2E17-4B47-90E4-E2DF02B019CB}"/>
    <hyperlink ref="F72" r:id="rId40" xr:uid="{B6BE86B8-D5D2-4DF3-A8A1-45B981CF91A5}"/>
    <hyperlink ref="F73" r:id="rId41" xr:uid="{6E87220F-690B-48AA-B2EE-C6CF03F4C739}"/>
    <hyperlink ref="F76" r:id="rId42" xr:uid="{AE6490D2-8BC3-44A0-AAF8-15AFC47822E9}"/>
    <hyperlink ref="F77" r:id="rId43" xr:uid="{1E79102E-F171-49F8-B99F-AA6858D0678C}"/>
    <hyperlink ref="F78" r:id="rId44" xr:uid="{C8326734-4B8F-49F0-A224-E853C2D5AC7D}"/>
    <hyperlink ref="F81" r:id="rId45" xr:uid="{E02D8964-1C00-48E4-880B-23FF0C6D2987}"/>
    <hyperlink ref="F82" r:id="rId46" xr:uid="{CAAA505A-EABC-4B79-8E67-0E73571A5677}"/>
    <hyperlink ref="F89" r:id="rId47" xr:uid="{C178A0DF-B4D3-4FCD-A6FD-A6FF04D1CFC0}"/>
    <hyperlink ref="F100" r:id="rId48" xr:uid="{DA9623B8-9EBA-4B12-A043-B4FC67B607A2}"/>
    <hyperlink ref="F101" r:id="rId49" xr:uid="{21A26089-0933-4B53-8919-01BB43771254}"/>
    <hyperlink ref="F109" r:id="rId50" xr:uid="{E3FCA8C0-B3F6-4DD7-8E5B-F7DEBB6278C4}"/>
    <hyperlink ref="F110" r:id="rId51" xr:uid="{9BAA0EA5-A15E-4B4B-AEF3-1CC7E5D71D4A}"/>
    <hyperlink ref="F111" r:id="rId52" xr:uid="{A0D2C458-2F77-4F68-B35A-D44D8E69011E}"/>
    <hyperlink ref="F112" r:id="rId53" xr:uid="{1802D6D0-FBBA-43AE-8166-A9A61A0E807E}"/>
    <hyperlink ref="F115" r:id="rId54" xr:uid="{48B63A23-1D39-431E-8865-15CD66D581A0}"/>
    <hyperlink ref="F116" r:id="rId55" xr:uid="{B795CA44-96FA-44D9-833C-7E9E7CA3EAD3}"/>
    <hyperlink ref="F117" r:id="rId56" display="Red Onion - Wei" xr:uid="{88DDF200-4A78-44BF-92AE-C19401938927}"/>
    <hyperlink ref="F118" r:id="rId57" xr:uid="{B1B31744-B40A-4DB1-B797-906E0727E35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85BD-80F3-4F2A-9813-9E994F3D2FB0}">
  <dimension ref="A1:Q122"/>
  <sheetViews>
    <sheetView topLeftCell="A102" workbookViewId="0">
      <selection activeCell="F4" sqref="F4"/>
    </sheetView>
  </sheetViews>
  <sheetFormatPr defaultRowHeight="14.6" x14ac:dyDescent="0.4"/>
  <cols>
    <col min="1" max="1" width="17.69140625" customWidth="1"/>
    <col min="2" max="2" width="13" customWidth="1"/>
    <col min="4" max="4" width="12.69140625" customWidth="1"/>
    <col min="5" max="5" width="11.3828125" bestFit="1" customWidth="1"/>
  </cols>
  <sheetData>
    <row r="1" spans="1:17" x14ac:dyDescent="0.4">
      <c r="A1" s="6" t="s">
        <v>0</v>
      </c>
      <c r="B1" s="7" t="s">
        <v>195</v>
      </c>
      <c r="C1" s="16" t="s">
        <v>196</v>
      </c>
      <c r="D1" s="6" t="s">
        <v>197</v>
      </c>
      <c r="E1" s="16" t="s">
        <v>198</v>
      </c>
      <c r="F1" s="6" t="s">
        <v>8</v>
      </c>
      <c r="G1" s="6"/>
      <c r="H1" s="6"/>
      <c r="I1" s="6"/>
      <c r="J1" s="6"/>
      <c r="K1" s="6"/>
      <c r="L1" s="6"/>
      <c r="M1" s="6"/>
      <c r="N1" s="6"/>
      <c r="O1" s="6"/>
      <c r="P1" s="1"/>
      <c r="Q1" s="1"/>
    </row>
    <row r="2" spans="1:17" x14ac:dyDescent="0.4">
      <c r="A2" s="1"/>
      <c r="C2" s="15"/>
      <c r="E2" s="15"/>
    </row>
    <row r="3" spans="1:17" x14ac:dyDescent="0.4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7">
        <v>6</v>
      </c>
    </row>
    <row r="4" spans="1:17" x14ac:dyDescent="0.4">
      <c r="A4" t="s">
        <v>11</v>
      </c>
      <c r="B4" t="s">
        <v>12</v>
      </c>
      <c r="C4" s="15">
        <v>2.19</v>
      </c>
      <c r="D4" t="s">
        <v>199</v>
      </c>
      <c r="E4" s="15">
        <v>2.19</v>
      </c>
      <c r="F4" s="14" t="s">
        <v>411</v>
      </c>
    </row>
    <row r="5" spans="1:17" x14ac:dyDescent="0.4">
      <c r="A5" t="s">
        <v>15</v>
      </c>
      <c r="B5" t="s">
        <v>16</v>
      </c>
      <c r="C5" s="15">
        <v>2.59</v>
      </c>
      <c r="D5" t="s">
        <v>273</v>
      </c>
      <c r="E5" s="15">
        <v>2.59</v>
      </c>
      <c r="F5" s="14" t="s">
        <v>412</v>
      </c>
    </row>
    <row r="6" spans="1:17" x14ac:dyDescent="0.4">
      <c r="A6" t="s">
        <v>203</v>
      </c>
      <c r="B6" t="s">
        <v>204</v>
      </c>
      <c r="C6" s="15">
        <v>5.29</v>
      </c>
      <c r="D6" t="s">
        <v>205</v>
      </c>
      <c r="E6" s="15">
        <v>5.29</v>
      </c>
      <c r="F6" s="14" t="s">
        <v>413</v>
      </c>
    </row>
    <row r="7" spans="1:17" x14ac:dyDescent="0.4">
      <c r="A7" t="s">
        <v>21</v>
      </c>
      <c r="B7" t="s">
        <v>22</v>
      </c>
      <c r="C7" s="15">
        <v>6.39</v>
      </c>
      <c r="D7" t="s">
        <v>414</v>
      </c>
      <c r="E7" s="15">
        <f>6.39*(2/33)</f>
        <v>0.38727272727272727</v>
      </c>
      <c r="F7" s="14" t="s">
        <v>415</v>
      </c>
    </row>
    <row r="8" spans="1:17" x14ac:dyDescent="0.4">
      <c r="A8" t="s">
        <v>26</v>
      </c>
      <c r="B8" t="s">
        <v>27</v>
      </c>
      <c r="C8" s="15">
        <v>1.99</v>
      </c>
      <c r="D8" t="s">
        <v>416</v>
      </c>
      <c r="E8" s="15">
        <f>1.99*(2/71)</f>
        <v>5.6056338028169013E-2</v>
      </c>
      <c r="F8" s="14" t="s">
        <v>417</v>
      </c>
    </row>
    <row r="9" spans="1:17" x14ac:dyDescent="0.4">
      <c r="A9" t="s">
        <v>30</v>
      </c>
      <c r="B9" t="s">
        <v>22</v>
      </c>
      <c r="C9" s="15">
        <v>2.99</v>
      </c>
      <c r="D9" t="s">
        <v>418</v>
      </c>
      <c r="E9" s="15">
        <f>2.99*(2/9)</f>
        <v>0.6644444444444445</v>
      </c>
      <c r="F9" s="14" t="s">
        <v>419</v>
      </c>
    </row>
    <row r="10" spans="1:17" x14ac:dyDescent="0.4">
      <c r="A10" t="s">
        <v>32</v>
      </c>
      <c r="B10" t="s">
        <v>33</v>
      </c>
      <c r="C10" s="15">
        <v>0.99</v>
      </c>
      <c r="D10" t="s">
        <v>223</v>
      </c>
      <c r="E10" s="15">
        <f>0.99/2</f>
        <v>0.495</v>
      </c>
      <c r="F10" s="14" t="s">
        <v>420</v>
      </c>
    </row>
    <row r="11" spans="1:17" x14ac:dyDescent="0.4">
      <c r="A11" s="1" t="s">
        <v>214</v>
      </c>
      <c r="C11" s="15">
        <f>SUM(C4:C10)</f>
        <v>22.429999999999996</v>
      </c>
      <c r="E11" s="15">
        <f>SUM(E4:E10)</f>
        <v>11.67277350974534</v>
      </c>
    </row>
    <row r="12" spans="1:17" x14ac:dyDescent="0.4">
      <c r="A12" s="11" t="s">
        <v>35</v>
      </c>
      <c r="C12" s="15"/>
      <c r="E12" s="15"/>
    </row>
    <row r="13" spans="1:17" x14ac:dyDescent="0.4">
      <c r="A13" s="11"/>
      <c r="C13" s="15"/>
      <c r="E13" s="15"/>
    </row>
    <row r="14" spans="1:17" x14ac:dyDescent="0.4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17">
        <v>1</v>
      </c>
    </row>
    <row r="15" spans="1:17" x14ac:dyDescent="0.4">
      <c r="A15" t="s">
        <v>37</v>
      </c>
      <c r="B15" t="s">
        <v>38</v>
      </c>
      <c r="C15" s="15">
        <v>2.89</v>
      </c>
      <c r="D15" t="s">
        <v>421</v>
      </c>
      <c r="E15" s="15">
        <f>2.89*(1/13)</f>
        <v>0.22230769230769232</v>
      </c>
      <c r="F15" s="14" t="s">
        <v>422</v>
      </c>
    </row>
    <row r="16" spans="1:17" x14ac:dyDescent="0.4">
      <c r="A16" t="s">
        <v>41</v>
      </c>
      <c r="B16" t="s">
        <v>38</v>
      </c>
      <c r="C16" s="15">
        <v>3.39</v>
      </c>
      <c r="D16" t="s">
        <v>423</v>
      </c>
      <c r="E16" s="15">
        <f>3.39*(1/15)</f>
        <v>0.22600000000000001</v>
      </c>
      <c r="F16" s="14" t="s">
        <v>424</v>
      </c>
    </row>
    <row r="17" spans="1:15" x14ac:dyDescent="0.4">
      <c r="A17" t="s">
        <v>43</v>
      </c>
      <c r="B17" t="s">
        <v>44</v>
      </c>
      <c r="C17" s="15">
        <v>4.8899999999999997</v>
      </c>
      <c r="D17" t="s">
        <v>425</v>
      </c>
      <c r="E17" s="15">
        <f>4.89*(1/48)</f>
        <v>0.10187499999999999</v>
      </c>
      <c r="F17" s="14" t="s">
        <v>426</v>
      </c>
    </row>
    <row r="18" spans="1:15" x14ac:dyDescent="0.4">
      <c r="A18" t="s">
        <v>46</v>
      </c>
      <c r="B18" t="s">
        <v>47</v>
      </c>
      <c r="C18" s="15" t="s">
        <v>284</v>
      </c>
      <c r="D18" t="s">
        <v>284</v>
      </c>
      <c r="E18" s="15" t="s">
        <v>284</v>
      </c>
      <c r="F18" s="15" t="s">
        <v>427</v>
      </c>
    </row>
    <row r="19" spans="1:15" x14ac:dyDescent="0.4">
      <c r="A19" t="s">
        <v>222</v>
      </c>
      <c r="B19" t="s">
        <v>38</v>
      </c>
      <c r="C19" s="15">
        <v>3.99</v>
      </c>
      <c r="D19" t="s">
        <v>428</v>
      </c>
      <c r="E19" s="15">
        <f>3.99*(1/8)</f>
        <v>0.49875000000000003</v>
      </c>
      <c r="F19" s="14" t="s">
        <v>429</v>
      </c>
    </row>
    <row r="20" spans="1:15" x14ac:dyDescent="0.4">
      <c r="A20" t="s">
        <v>50</v>
      </c>
      <c r="B20" t="s">
        <v>47</v>
      </c>
      <c r="C20" s="15">
        <v>4.49</v>
      </c>
      <c r="D20" t="s">
        <v>430</v>
      </c>
      <c r="E20" s="15">
        <f>4.49*(2/48)</f>
        <v>0.18708333333333332</v>
      </c>
      <c r="F20" s="14" t="s">
        <v>431</v>
      </c>
    </row>
    <row r="21" spans="1:15" x14ac:dyDescent="0.4">
      <c r="A21" s="1" t="s">
        <v>214</v>
      </c>
      <c r="C21" s="15">
        <f>SUM(C15:C20)</f>
        <v>19.649999999999999</v>
      </c>
      <c r="E21" s="15">
        <f>SUM(E15:E20)</f>
        <v>1.2360160256410255</v>
      </c>
    </row>
    <row r="22" spans="1:15" x14ac:dyDescent="0.4">
      <c r="A22" s="12" t="s">
        <v>52</v>
      </c>
      <c r="C22" s="15"/>
      <c r="E22" s="15"/>
    </row>
    <row r="23" spans="1:15" x14ac:dyDescent="0.4">
      <c r="A23" s="10"/>
      <c r="C23" s="15"/>
      <c r="E23" s="15"/>
    </row>
    <row r="24" spans="1:15" x14ac:dyDescent="0.4">
      <c r="A24" s="29" t="s">
        <v>53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17">
        <v>4</v>
      </c>
    </row>
    <row r="25" spans="1:15" x14ac:dyDescent="0.4">
      <c r="A25" t="s">
        <v>54</v>
      </c>
      <c r="B25">
        <v>8</v>
      </c>
      <c r="C25" s="15">
        <v>1.99</v>
      </c>
      <c r="D25">
        <v>8</v>
      </c>
      <c r="E25" s="15">
        <v>1.99</v>
      </c>
      <c r="F25" s="14" t="s">
        <v>432</v>
      </c>
    </row>
    <row r="26" spans="1:15" x14ac:dyDescent="0.4">
      <c r="A26" t="s">
        <v>56</v>
      </c>
      <c r="B26" t="s">
        <v>57</v>
      </c>
      <c r="C26" s="15">
        <v>3.69</v>
      </c>
      <c r="D26" t="s">
        <v>433</v>
      </c>
      <c r="E26" s="15">
        <f>3.69*(1/32)</f>
        <v>0.1153125</v>
      </c>
      <c r="F26" s="14" t="s">
        <v>434</v>
      </c>
    </row>
    <row r="27" spans="1:15" x14ac:dyDescent="0.4">
      <c r="A27" s="3" t="s">
        <v>60</v>
      </c>
      <c r="B27" t="s">
        <v>61</v>
      </c>
      <c r="C27" s="15">
        <v>4.99</v>
      </c>
      <c r="D27" t="s">
        <v>149</v>
      </c>
      <c r="E27" s="15">
        <f>4.99/2</f>
        <v>2.4950000000000001</v>
      </c>
      <c r="F27" s="14" t="s">
        <v>435</v>
      </c>
    </row>
    <row r="28" spans="1:15" x14ac:dyDescent="0.4">
      <c r="A28" t="s">
        <v>63</v>
      </c>
      <c r="B28" t="s">
        <v>64</v>
      </c>
      <c r="C28" s="15">
        <v>0.99</v>
      </c>
      <c r="D28" t="s">
        <v>64</v>
      </c>
      <c r="E28" s="15">
        <v>0.99</v>
      </c>
      <c r="F28" s="14" t="s">
        <v>436</v>
      </c>
    </row>
    <row r="29" spans="1:15" x14ac:dyDescent="0.4">
      <c r="A29" t="s">
        <v>66</v>
      </c>
      <c r="B29" t="s">
        <v>38</v>
      </c>
      <c r="C29" s="15">
        <v>1.99</v>
      </c>
      <c r="D29" t="s">
        <v>437</v>
      </c>
      <c r="E29" s="15">
        <f>1.99*(1/8)</f>
        <v>0.24875</v>
      </c>
      <c r="F29" s="14" t="s">
        <v>438</v>
      </c>
    </row>
    <row r="30" spans="1:15" x14ac:dyDescent="0.4">
      <c r="A30" t="s">
        <v>26</v>
      </c>
      <c r="B30" t="s">
        <v>68</v>
      </c>
      <c r="C30" s="15">
        <v>1.99</v>
      </c>
      <c r="D30" t="s">
        <v>416</v>
      </c>
      <c r="E30" s="15">
        <f>1.99*(8/71)</f>
        <v>0.22422535211267605</v>
      </c>
      <c r="F30" t="s">
        <v>69</v>
      </c>
    </row>
    <row r="31" spans="1:15" x14ac:dyDescent="0.4">
      <c r="A31" t="s">
        <v>70</v>
      </c>
      <c r="B31" t="s">
        <v>229</v>
      </c>
      <c r="C31" s="15">
        <v>6.39</v>
      </c>
      <c r="D31" t="s">
        <v>414</v>
      </c>
      <c r="E31" s="15">
        <f>6.39*(1/33)</f>
        <v>0.19363636363636363</v>
      </c>
      <c r="F31" t="s">
        <v>69</v>
      </c>
    </row>
    <row r="32" spans="1:15" x14ac:dyDescent="0.4">
      <c r="A32" s="1" t="s">
        <v>214</v>
      </c>
      <c r="C32" s="15">
        <f>SUM(C26:C31)</f>
        <v>20.04</v>
      </c>
      <c r="E32" s="15">
        <f>SUM(E25:E31)</f>
        <v>6.2569242157490406</v>
      </c>
    </row>
    <row r="33" spans="1:15" x14ac:dyDescent="0.4">
      <c r="A33" s="11" t="s">
        <v>71</v>
      </c>
      <c r="C33" s="15"/>
      <c r="E33" s="15"/>
    </row>
    <row r="34" spans="1:15" x14ac:dyDescent="0.4">
      <c r="A34" s="1"/>
      <c r="C34" s="15"/>
      <c r="E34" s="15"/>
    </row>
    <row r="35" spans="1:15" x14ac:dyDescent="0.4">
      <c r="A35" s="29" t="s">
        <v>72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17">
        <v>6</v>
      </c>
    </row>
    <row r="36" spans="1:15" x14ac:dyDescent="0.4">
      <c r="A36" s="3" t="s">
        <v>73</v>
      </c>
      <c r="B36" t="s">
        <v>74</v>
      </c>
      <c r="C36" s="19">
        <v>6.19</v>
      </c>
      <c r="D36" s="20" t="s">
        <v>149</v>
      </c>
      <c r="E36" s="19">
        <v>6.19</v>
      </c>
      <c r="F36" s="14" t="s">
        <v>439</v>
      </c>
      <c r="G36" s="2"/>
      <c r="H36" s="2"/>
      <c r="I36" s="2"/>
      <c r="J36" s="2"/>
      <c r="K36" s="2"/>
      <c r="L36" s="2"/>
      <c r="M36" s="2"/>
      <c r="N36" s="2"/>
    </row>
    <row r="37" spans="1:15" x14ac:dyDescent="0.4">
      <c r="A37" s="3" t="s">
        <v>76</v>
      </c>
      <c r="B37" s="18">
        <v>1</v>
      </c>
      <c r="C37" s="19">
        <v>0.99</v>
      </c>
      <c r="D37" s="20">
        <v>1</v>
      </c>
      <c r="E37" s="19">
        <v>0.99</v>
      </c>
      <c r="F37" s="14" t="s">
        <v>440</v>
      </c>
      <c r="G37" s="19"/>
      <c r="H37" s="14"/>
      <c r="I37" s="2"/>
      <c r="J37" s="2"/>
      <c r="K37" s="2"/>
      <c r="L37" s="2"/>
      <c r="M37" s="2"/>
      <c r="N37" s="2"/>
    </row>
    <row r="38" spans="1:15" x14ac:dyDescent="0.4">
      <c r="A38" t="s">
        <v>79</v>
      </c>
      <c r="B38" t="s">
        <v>64</v>
      </c>
      <c r="C38" s="19">
        <v>0.99</v>
      </c>
      <c r="D38" s="20" t="s">
        <v>441</v>
      </c>
      <c r="E38" s="19">
        <v>0.99</v>
      </c>
      <c r="F38" s="14" t="s">
        <v>442</v>
      </c>
      <c r="G38" s="2"/>
      <c r="H38" s="2"/>
      <c r="I38" s="2"/>
      <c r="J38" s="2"/>
      <c r="K38" s="2"/>
      <c r="L38" s="2"/>
      <c r="M38" s="2"/>
      <c r="N38" s="2"/>
    </row>
    <row r="39" spans="1:15" x14ac:dyDescent="0.4">
      <c r="A39" t="s">
        <v>82</v>
      </c>
      <c r="B39" t="s">
        <v>83</v>
      </c>
      <c r="C39" s="19">
        <v>0.99</v>
      </c>
      <c r="D39" s="20" t="s">
        <v>83</v>
      </c>
      <c r="E39" s="19">
        <v>0.99</v>
      </c>
      <c r="F39" s="14" t="s">
        <v>443</v>
      </c>
      <c r="G39" s="2"/>
      <c r="H39" s="2"/>
      <c r="I39" s="2"/>
      <c r="J39" s="2"/>
      <c r="K39" s="2"/>
      <c r="L39" s="2"/>
      <c r="M39" s="2"/>
      <c r="N39" s="2"/>
    </row>
    <row r="40" spans="1:15" x14ac:dyDescent="0.4">
      <c r="A40" t="s">
        <v>230</v>
      </c>
      <c r="B40" t="s">
        <v>64</v>
      </c>
      <c r="C40" s="19">
        <v>1.19</v>
      </c>
      <c r="D40" s="20" t="s">
        <v>298</v>
      </c>
      <c r="E40" s="19">
        <v>1.19</v>
      </c>
      <c r="F40" s="14" t="s">
        <v>444</v>
      </c>
    </row>
    <row r="41" spans="1:15" x14ac:dyDescent="0.4">
      <c r="A41" t="s">
        <v>89</v>
      </c>
      <c r="B41" t="s">
        <v>64</v>
      </c>
      <c r="C41" s="15">
        <v>0.59</v>
      </c>
      <c r="D41" t="s">
        <v>298</v>
      </c>
      <c r="E41" s="15">
        <v>0.59</v>
      </c>
      <c r="F41" s="14" t="s">
        <v>445</v>
      </c>
    </row>
    <row r="42" spans="1:15" x14ac:dyDescent="0.4">
      <c r="A42" t="s">
        <v>26</v>
      </c>
      <c r="B42" t="s">
        <v>91</v>
      </c>
      <c r="C42" s="15">
        <v>1.99</v>
      </c>
      <c r="D42" t="s">
        <v>416</v>
      </c>
      <c r="E42" s="15">
        <f>1.99*(2/71)</f>
        <v>5.6056338028169013E-2</v>
      </c>
      <c r="F42" t="s">
        <v>69</v>
      </c>
    </row>
    <row r="43" spans="1:15" x14ac:dyDescent="0.4">
      <c r="A43" t="s">
        <v>66</v>
      </c>
      <c r="B43" t="s">
        <v>446</v>
      </c>
      <c r="C43" s="15">
        <v>1.99</v>
      </c>
      <c r="D43" t="s">
        <v>437</v>
      </c>
      <c r="E43" s="15">
        <f>1.99*(2/3)</f>
        <v>1.3266666666666667</v>
      </c>
      <c r="F43" t="s">
        <v>69</v>
      </c>
    </row>
    <row r="44" spans="1:15" x14ac:dyDescent="0.4">
      <c r="A44" t="s">
        <v>93</v>
      </c>
      <c r="B44" t="s">
        <v>447</v>
      </c>
      <c r="C44" s="15">
        <v>4.6900000000000004</v>
      </c>
      <c r="D44" t="s">
        <v>448</v>
      </c>
      <c r="E44" s="15">
        <f>4.69*(1/2)</f>
        <v>2.3450000000000002</v>
      </c>
      <c r="F44" s="14" t="s">
        <v>449</v>
      </c>
    </row>
    <row r="45" spans="1:15" x14ac:dyDescent="0.4">
      <c r="A45" t="s">
        <v>96</v>
      </c>
      <c r="B45" t="s">
        <v>231</v>
      </c>
      <c r="C45" s="15">
        <v>1.29</v>
      </c>
      <c r="D45" t="s">
        <v>450</v>
      </c>
      <c r="E45" s="15">
        <v>1.29</v>
      </c>
      <c r="F45" s="14" t="s">
        <v>451</v>
      </c>
    </row>
    <row r="46" spans="1:15" x14ac:dyDescent="0.4">
      <c r="A46" s="1" t="s">
        <v>214</v>
      </c>
      <c r="C46" s="15">
        <f>SUM(C36:C45)</f>
        <v>20.9</v>
      </c>
      <c r="E46" s="15">
        <f>SUM(E36:E45)</f>
        <v>15.957723004694834</v>
      </c>
    </row>
    <row r="47" spans="1:15" x14ac:dyDescent="0.4">
      <c r="A47" s="11" t="s">
        <v>71</v>
      </c>
      <c r="C47" s="15"/>
      <c r="E47" s="15"/>
    </row>
    <row r="48" spans="1:15" x14ac:dyDescent="0.4">
      <c r="C48" s="15"/>
      <c r="E48" s="15"/>
    </row>
    <row r="49" spans="1:15" x14ac:dyDescent="0.4">
      <c r="A49" s="29" t="s">
        <v>99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17">
        <v>4</v>
      </c>
    </row>
    <row r="50" spans="1:15" x14ac:dyDescent="0.4">
      <c r="A50" t="s">
        <v>100</v>
      </c>
      <c r="B50" t="s">
        <v>101</v>
      </c>
      <c r="C50" s="15">
        <v>2.4900000000000002</v>
      </c>
      <c r="D50" t="s">
        <v>452</v>
      </c>
      <c r="E50" s="23">
        <f>2.49*(8/75)</f>
        <v>0.26560000000000006</v>
      </c>
      <c r="F50" t="s">
        <v>453</v>
      </c>
      <c r="G50" s="14" t="s">
        <v>454</v>
      </c>
    </row>
    <row r="51" spans="1:15" x14ac:dyDescent="0.4">
      <c r="A51" t="s">
        <v>103</v>
      </c>
      <c r="B51" t="s">
        <v>104</v>
      </c>
      <c r="C51" s="15">
        <v>3.19</v>
      </c>
      <c r="D51" t="s">
        <v>455</v>
      </c>
      <c r="E51" s="15">
        <f>3.19*(2/151)</f>
        <v>4.2251655629139073E-2</v>
      </c>
      <c r="F51" s="14" t="s">
        <v>456</v>
      </c>
    </row>
    <row r="52" spans="1:15" x14ac:dyDescent="0.4">
      <c r="A52" s="3" t="s">
        <v>106</v>
      </c>
      <c r="B52" t="s">
        <v>47</v>
      </c>
      <c r="C52" s="15">
        <v>1.99</v>
      </c>
      <c r="D52" s="15" t="s">
        <v>457</v>
      </c>
      <c r="E52" s="15">
        <f>(16/383)*1.99</f>
        <v>8.3133159268929502E-2</v>
      </c>
      <c r="F52" s="14" t="s">
        <v>458</v>
      </c>
    </row>
    <row r="53" spans="1:15" x14ac:dyDescent="0.4">
      <c r="A53" s="3" t="s">
        <v>108</v>
      </c>
      <c r="B53" t="s">
        <v>109</v>
      </c>
      <c r="C53" s="15">
        <v>1.59</v>
      </c>
      <c r="D53" t="s">
        <v>459</v>
      </c>
      <c r="E53" s="15">
        <f>1.59*(0.5/92)</f>
        <v>8.6413043478260863E-3</v>
      </c>
      <c r="F53" s="14" t="s">
        <v>460</v>
      </c>
    </row>
    <row r="54" spans="1:15" x14ac:dyDescent="0.4">
      <c r="A54" t="s">
        <v>111</v>
      </c>
      <c r="B54" t="s">
        <v>109</v>
      </c>
      <c r="C54" s="15">
        <v>1.99</v>
      </c>
      <c r="D54" t="s">
        <v>416</v>
      </c>
      <c r="E54" s="15">
        <f>1.99*(1/71)</f>
        <v>2.8028169014084506E-2</v>
      </c>
      <c r="F54" t="s">
        <v>69</v>
      </c>
    </row>
    <row r="55" spans="1:15" x14ac:dyDescent="0.4">
      <c r="A55" t="s">
        <v>113</v>
      </c>
      <c r="B55" t="s">
        <v>114</v>
      </c>
      <c r="C55" s="15">
        <v>4.8899999999999997</v>
      </c>
      <c r="D55" t="s">
        <v>461</v>
      </c>
      <c r="E55" s="23">
        <f>4.89*(5/64)</f>
        <v>0.38203124999999999</v>
      </c>
      <c r="F55" t="s">
        <v>462</v>
      </c>
    </row>
    <row r="56" spans="1:15" x14ac:dyDescent="0.4">
      <c r="A56" t="s">
        <v>116</v>
      </c>
      <c r="B56">
        <v>2</v>
      </c>
      <c r="C56" s="15">
        <v>1.99</v>
      </c>
      <c r="D56">
        <v>12</v>
      </c>
      <c r="E56" s="15">
        <f>1.99*(2/12)</f>
        <v>0.33166666666666667</v>
      </c>
      <c r="F56" s="14" t="s">
        <v>463</v>
      </c>
    </row>
    <row r="57" spans="1:15" x14ac:dyDescent="0.4">
      <c r="A57" t="s">
        <v>118</v>
      </c>
      <c r="B57" t="s">
        <v>119</v>
      </c>
      <c r="C57" s="15">
        <v>3.99</v>
      </c>
      <c r="D57" t="s">
        <v>464</v>
      </c>
      <c r="E57" s="15">
        <f>3.99*(4/96)</f>
        <v>0.16625000000000001</v>
      </c>
      <c r="F57" s="14" t="s">
        <v>458</v>
      </c>
    </row>
    <row r="58" spans="1:15" x14ac:dyDescent="0.4">
      <c r="A58" s="1" t="s">
        <v>214</v>
      </c>
      <c r="C58" s="15">
        <f>SUM(C50:C57)</f>
        <v>22.119999999999997</v>
      </c>
      <c r="E58" s="15">
        <f>SUM(E50:E57)</f>
        <v>1.3076022049266458</v>
      </c>
    </row>
    <row r="59" spans="1:15" x14ac:dyDescent="0.4">
      <c r="A59" s="13" t="s">
        <v>121</v>
      </c>
      <c r="C59" s="15"/>
      <c r="E59" s="15"/>
    </row>
    <row r="60" spans="1:15" x14ac:dyDescent="0.4">
      <c r="A60" s="11"/>
      <c r="C60" s="15"/>
      <c r="E60" s="15"/>
    </row>
    <row r="61" spans="1:15" x14ac:dyDescent="0.4">
      <c r="A61" s="29" t="s">
        <v>122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17">
        <v>2</v>
      </c>
    </row>
    <row r="62" spans="1:15" x14ac:dyDescent="0.4">
      <c r="A62" t="s">
        <v>123</v>
      </c>
      <c r="B62" t="s">
        <v>124</v>
      </c>
      <c r="C62" s="15">
        <v>3.59</v>
      </c>
      <c r="D62" t="s">
        <v>465</v>
      </c>
      <c r="E62" s="15">
        <f>3.59*(2/7)</f>
        <v>1.0257142857142856</v>
      </c>
      <c r="F62" s="14" t="s">
        <v>466</v>
      </c>
    </row>
    <row r="63" spans="1:15" x14ac:dyDescent="0.4">
      <c r="A63" t="s">
        <v>126</v>
      </c>
      <c r="B63" t="s">
        <v>127</v>
      </c>
      <c r="C63" s="15">
        <v>4.99</v>
      </c>
      <c r="D63" t="s">
        <v>149</v>
      </c>
      <c r="E63" s="15">
        <f>4.99/2</f>
        <v>2.4950000000000001</v>
      </c>
      <c r="F63" t="s">
        <v>69</v>
      </c>
    </row>
    <row r="64" spans="1:15" x14ac:dyDescent="0.4">
      <c r="A64" t="s">
        <v>134</v>
      </c>
      <c r="B64" t="s">
        <v>38</v>
      </c>
      <c r="C64" s="15">
        <v>1.99</v>
      </c>
      <c r="D64" t="s">
        <v>467</v>
      </c>
      <c r="E64" s="15">
        <f>1.99*(1/6)</f>
        <v>0.33166666666666667</v>
      </c>
      <c r="F64" s="14" t="s">
        <v>468</v>
      </c>
    </row>
    <row r="65" spans="1:15" x14ac:dyDescent="0.4">
      <c r="A65" s="3" t="s">
        <v>137</v>
      </c>
      <c r="B65" t="s">
        <v>138</v>
      </c>
      <c r="C65" s="15" t="s">
        <v>284</v>
      </c>
      <c r="D65" t="s">
        <v>284</v>
      </c>
      <c r="E65" s="15" t="s">
        <v>284</v>
      </c>
      <c r="F65" t="s">
        <v>427</v>
      </c>
    </row>
    <row r="66" spans="1:15" x14ac:dyDescent="0.4">
      <c r="A66" t="s">
        <v>140</v>
      </c>
      <c r="B66" t="s">
        <v>22</v>
      </c>
      <c r="C66" s="15">
        <v>3.39</v>
      </c>
      <c r="D66" t="s">
        <v>433</v>
      </c>
      <c r="E66" s="15">
        <f>3.39*(2/32)</f>
        <v>0.21187500000000001</v>
      </c>
      <c r="F66" s="14" t="s">
        <v>469</v>
      </c>
    </row>
    <row r="67" spans="1:15" x14ac:dyDescent="0.4">
      <c r="A67" s="1" t="s">
        <v>214</v>
      </c>
      <c r="C67" s="15">
        <f>SUM(C61:C66)</f>
        <v>13.96</v>
      </c>
      <c r="E67" s="15">
        <f>SUM(E61:E66)</f>
        <v>4.0642559523809521</v>
      </c>
    </row>
    <row r="68" spans="1:15" x14ac:dyDescent="0.4">
      <c r="A68" s="13" t="s">
        <v>142</v>
      </c>
      <c r="C68" s="15"/>
      <c r="E68" s="15"/>
    </row>
    <row r="69" spans="1:15" x14ac:dyDescent="0.4">
      <c r="A69" s="11"/>
      <c r="C69" s="15"/>
      <c r="E69" s="15"/>
    </row>
    <row r="70" spans="1:15" x14ac:dyDescent="0.4">
      <c r="A70" s="29" t="s">
        <v>143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17">
        <v>4</v>
      </c>
    </row>
    <row r="71" spans="1:15" x14ac:dyDescent="0.4">
      <c r="A71" t="s">
        <v>144</v>
      </c>
      <c r="B71">
        <v>3</v>
      </c>
      <c r="C71" s="15">
        <v>2.69</v>
      </c>
      <c r="D71" t="s">
        <v>470</v>
      </c>
      <c r="E71" s="15">
        <v>2.69</v>
      </c>
      <c r="F71" s="14" t="s">
        <v>471</v>
      </c>
    </row>
    <row r="72" spans="1:15" x14ac:dyDescent="0.4">
      <c r="A72" t="s">
        <v>145</v>
      </c>
      <c r="B72">
        <v>1</v>
      </c>
      <c r="C72" s="15">
        <v>0.99</v>
      </c>
      <c r="D72">
        <v>1</v>
      </c>
      <c r="E72" s="15">
        <v>0.99</v>
      </c>
      <c r="F72" s="14" t="s">
        <v>472</v>
      </c>
    </row>
    <row r="73" spans="1:15" x14ac:dyDescent="0.4">
      <c r="A73" t="s">
        <v>146</v>
      </c>
      <c r="B73">
        <v>1</v>
      </c>
      <c r="C73" s="15">
        <v>1.89</v>
      </c>
      <c r="D73" t="s">
        <v>382</v>
      </c>
      <c r="E73" s="15">
        <v>1.89</v>
      </c>
      <c r="F73" s="14" t="s">
        <v>473</v>
      </c>
    </row>
    <row r="74" spans="1:15" x14ac:dyDescent="0.4">
      <c r="A74" t="s">
        <v>147</v>
      </c>
      <c r="B74" t="s">
        <v>148</v>
      </c>
      <c r="C74" s="15">
        <v>6.39</v>
      </c>
      <c r="D74" t="s">
        <v>414</v>
      </c>
      <c r="E74" s="15">
        <f>6.39*(1/33)</f>
        <v>0.19363636363636363</v>
      </c>
      <c r="F74" t="s">
        <v>69</v>
      </c>
    </row>
    <row r="75" spans="1:15" x14ac:dyDescent="0.4">
      <c r="A75" t="s">
        <v>73</v>
      </c>
      <c r="B75" t="s">
        <v>149</v>
      </c>
      <c r="C75" s="19">
        <v>6.19</v>
      </c>
      <c r="D75" s="20" t="s">
        <v>149</v>
      </c>
      <c r="E75" s="19">
        <v>6.19</v>
      </c>
      <c r="F75" t="s">
        <v>69</v>
      </c>
    </row>
    <row r="76" spans="1:15" x14ac:dyDescent="0.4">
      <c r="A76" t="s">
        <v>150</v>
      </c>
      <c r="B76" t="s">
        <v>101</v>
      </c>
      <c r="C76" s="15">
        <v>1.59</v>
      </c>
      <c r="D76" t="s">
        <v>474</v>
      </c>
      <c r="E76" s="15">
        <f>1.59/2</f>
        <v>0.79500000000000004</v>
      </c>
      <c r="F76" s="14" t="s">
        <v>475</v>
      </c>
    </row>
    <row r="77" spans="1:15" x14ac:dyDescent="0.4">
      <c r="A77" t="s">
        <v>151</v>
      </c>
      <c r="B77" t="s">
        <v>17</v>
      </c>
      <c r="C77" s="15">
        <v>1.89</v>
      </c>
      <c r="D77" t="s">
        <v>476</v>
      </c>
      <c r="E77" s="15">
        <f>1.89*(1/5)</f>
        <v>0.378</v>
      </c>
      <c r="F77" s="14" t="s">
        <v>477</v>
      </c>
    </row>
    <row r="78" spans="1:15" x14ac:dyDescent="0.4">
      <c r="A78" t="s">
        <v>152</v>
      </c>
      <c r="B78" t="s">
        <v>68</v>
      </c>
      <c r="C78" s="15">
        <v>1.19</v>
      </c>
      <c r="D78" t="s">
        <v>478</v>
      </c>
      <c r="E78" s="15">
        <f>1.19*(1/71)</f>
        <v>1.6760563380281691E-2</v>
      </c>
      <c r="F78" s="14" t="s">
        <v>479</v>
      </c>
    </row>
    <row r="79" spans="1:15" x14ac:dyDescent="0.4">
      <c r="A79" t="s">
        <v>111</v>
      </c>
      <c r="B79" t="s">
        <v>68</v>
      </c>
      <c r="C79" s="15">
        <v>1.99</v>
      </c>
      <c r="D79" t="s">
        <v>416</v>
      </c>
      <c r="E79" s="15">
        <f>1.99*(1/71)</f>
        <v>2.8028169014084506E-2</v>
      </c>
      <c r="F79" t="s">
        <v>69</v>
      </c>
    </row>
    <row r="80" spans="1:15" x14ac:dyDescent="0.4">
      <c r="A80" t="s">
        <v>153</v>
      </c>
      <c r="B80" t="s">
        <v>148</v>
      </c>
      <c r="C80" s="15">
        <v>2.99</v>
      </c>
      <c r="D80" t="s">
        <v>418</v>
      </c>
      <c r="E80" s="15">
        <f>2.99*(1/9)</f>
        <v>0.33222222222222225</v>
      </c>
      <c r="F80" t="s">
        <v>69</v>
      </c>
    </row>
    <row r="81" spans="1:15" x14ac:dyDescent="0.4">
      <c r="A81" t="s">
        <v>154</v>
      </c>
      <c r="B81" t="s">
        <v>68</v>
      </c>
      <c r="C81" s="15">
        <v>1.19</v>
      </c>
      <c r="D81" t="s">
        <v>480</v>
      </c>
      <c r="E81" s="15">
        <f>1.19*(3/71)</f>
        <v>5.0281690140845069E-2</v>
      </c>
      <c r="F81" s="14" t="s">
        <v>481</v>
      </c>
    </row>
    <row r="82" spans="1:15" x14ac:dyDescent="0.4">
      <c r="A82" t="s">
        <v>155</v>
      </c>
      <c r="B82" t="s">
        <v>68</v>
      </c>
      <c r="C82" s="15">
        <v>1.19</v>
      </c>
      <c r="D82" t="s">
        <v>482</v>
      </c>
      <c r="E82" s="15">
        <f>1.19*(1/71)</f>
        <v>1.6760563380281691E-2</v>
      </c>
      <c r="F82" s="14" t="s">
        <v>483</v>
      </c>
    </row>
    <row r="83" spans="1:15" x14ac:dyDescent="0.4">
      <c r="A83" s="1" t="s">
        <v>214</v>
      </c>
      <c r="C83" s="15">
        <f>SUM(C71:C82)</f>
        <v>30.18</v>
      </c>
      <c r="E83" s="15">
        <f>SUM(E71:E82)</f>
        <v>13.570689571774082</v>
      </c>
    </row>
    <row r="84" spans="1:15" x14ac:dyDescent="0.4">
      <c r="A84" s="11" t="s">
        <v>71</v>
      </c>
      <c r="C84" s="15"/>
      <c r="E84" s="15"/>
    </row>
    <row r="85" spans="1:15" x14ac:dyDescent="0.4">
      <c r="C85" s="15"/>
      <c r="E85" s="15"/>
    </row>
    <row r="86" spans="1:15" x14ac:dyDescent="0.4">
      <c r="A86" s="29" t="s">
        <v>194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17">
        <v>4</v>
      </c>
    </row>
    <row r="87" spans="1:15" x14ac:dyDescent="0.4">
      <c r="A87" t="s">
        <v>73</v>
      </c>
      <c r="B87" t="s">
        <v>149</v>
      </c>
      <c r="C87" s="19">
        <v>6.19</v>
      </c>
      <c r="D87" s="20" t="s">
        <v>149</v>
      </c>
      <c r="E87" s="19">
        <v>6.19</v>
      </c>
      <c r="F87" t="s">
        <v>69</v>
      </c>
    </row>
    <row r="88" spans="1:15" x14ac:dyDescent="0.4">
      <c r="A88" t="s">
        <v>145</v>
      </c>
      <c r="B88" s="9">
        <v>0.5</v>
      </c>
      <c r="C88" s="15">
        <v>0.99</v>
      </c>
      <c r="D88">
        <v>1</v>
      </c>
      <c r="E88" s="15">
        <v>0.99</v>
      </c>
      <c r="F88" t="s">
        <v>69</v>
      </c>
    </row>
    <row r="89" spans="1:15" x14ac:dyDescent="0.4">
      <c r="A89" t="s">
        <v>157</v>
      </c>
      <c r="B89" s="8" t="s">
        <v>17</v>
      </c>
      <c r="C89" s="15">
        <v>1.29</v>
      </c>
      <c r="D89" t="s">
        <v>484</v>
      </c>
      <c r="E89" s="15">
        <f>1.29*(1/4.25)</f>
        <v>0.30352941176470588</v>
      </c>
      <c r="F89" s="14" t="s">
        <v>485</v>
      </c>
    </row>
    <row r="90" spans="1:15" x14ac:dyDescent="0.4">
      <c r="A90" t="s">
        <v>158</v>
      </c>
      <c r="B90">
        <v>1</v>
      </c>
      <c r="C90" s="15">
        <v>1.99</v>
      </c>
      <c r="D90">
        <v>12</v>
      </c>
      <c r="E90" s="15">
        <f>1.99*(1/12)</f>
        <v>0.16583333333333333</v>
      </c>
      <c r="F90" t="s">
        <v>69</v>
      </c>
    </row>
    <row r="91" spans="1:15" x14ac:dyDescent="0.4">
      <c r="A91" t="s">
        <v>232</v>
      </c>
      <c r="B91" t="s">
        <v>38</v>
      </c>
      <c r="C91" s="15">
        <v>4.8899999999999997</v>
      </c>
      <c r="D91" t="s">
        <v>461</v>
      </c>
      <c r="E91" s="15">
        <f>4.89*(1/64)</f>
        <v>7.6406249999999995E-2</v>
      </c>
      <c r="F91" t="s">
        <v>69</v>
      </c>
    </row>
    <row r="92" spans="1:15" x14ac:dyDescent="0.4">
      <c r="A92" t="s">
        <v>26</v>
      </c>
      <c r="B92" t="s">
        <v>68</v>
      </c>
      <c r="C92" s="15">
        <v>1.99</v>
      </c>
      <c r="D92" t="s">
        <v>416</v>
      </c>
      <c r="E92" s="15">
        <f>1.99*(2/71)</f>
        <v>5.6056338028169013E-2</v>
      </c>
      <c r="F92" t="s">
        <v>69</v>
      </c>
    </row>
    <row r="93" spans="1:15" x14ac:dyDescent="0.4">
      <c r="A93" t="s">
        <v>147</v>
      </c>
      <c r="B93" t="s">
        <v>148</v>
      </c>
      <c r="C93" s="15">
        <v>6.39</v>
      </c>
      <c r="D93" t="s">
        <v>414</v>
      </c>
      <c r="E93" s="15">
        <f>6.39*(1/33)</f>
        <v>0.19363636363636363</v>
      </c>
      <c r="F93" t="s">
        <v>69</v>
      </c>
    </row>
    <row r="94" spans="1:15" x14ac:dyDescent="0.4">
      <c r="A94" s="1" t="s">
        <v>214</v>
      </c>
      <c r="C94" s="15">
        <f>SUM(C87:C93)</f>
        <v>23.73</v>
      </c>
      <c r="E94" s="15">
        <f>SUM(E87:E93)</f>
        <v>7.9754616967625722</v>
      </c>
    </row>
    <row r="95" spans="1:15" x14ac:dyDescent="0.4">
      <c r="A95" s="11" t="s">
        <v>71</v>
      </c>
      <c r="C95" s="15"/>
      <c r="E95" s="15"/>
    </row>
    <row r="96" spans="1:15" x14ac:dyDescent="0.4">
      <c r="C96" s="15"/>
      <c r="E96" s="15"/>
    </row>
    <row r="97" spans="1:15" x14ac:dyDescent="0.4">
      <c r="A97" s="29" t="s">
        <v>159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17">
        <v>4</v>
      </c>
    </row>
    <row r="98" spans="1:15" x14ac:dyDescent="0.4">
      <c r="A98" t="s">
        <v>73</v>
      </c>
      <c r="B98" t="s">
        <v>160</v>
      </c>
      <c r="C98" s="19">
        <v>6.19</v>
      </c>
      <c r="D98" s="20" t="s">
        <v>149</v>
      </c>
      <c r="E98" s="19">
        <f>6.19/2</f>
        <v>3.0950000000000002</v>
      </c>
      <c r="F98" t="s">
        <v>69</v>
      </c>
    </row>
    <row r="99" spans="1:15" x14ac:dyDescent="0.4">
      <c r="A99" t="s">
        <v>161</v>
      </c>
      <c r="B99" t="s">
        <v>17</v>
      </c>
      <c r="C99" s="15">
        <v>1.89</v>
      </c>
      <c r="D99" t="s">
        <v>476</v>
      </c>
      <c r="E99" s="15">
        <f>1.89*(1/5)</f>
        <v>0.378</v>
      </c>
      <c r="F99" t="s">
        <v>69</v>
      </c>
    </row>
    <row r="100" spans="1:15" x14ac:dyDescent="0.4">
      <c r="A100" t="s">
        <v>162</v>
      </c>
      <c r="B100">
        <v>2</v>
      </c>
      <c r="C100" s="15">
        <v>0.69</v>
      </c>
      <c r="D100">
        <v>1</v>
      </c>
      <c r="E100" s="15">
        <f>0.69*2</f>
        <v>1.38</v>
      </c>
      <c r="F100" s="14" t="s">
        <v>486</v>
      </c>
      <c r="H100" s="15">
        <f>1.89*(1/5)</f>
        <v>0.378</v>
      </c>
    </row>
    <row r="101" spans="1:15" x14ac:dyDescent="0.4">
      <c r="A101" t="s">
        <v>163</v>
      </c>
      <c r="B101" t="s">
        <v>17</v>
      </c>
      <c r="C101" s="15">
        <v>1.99</v>
      </c>
      <c r="D101" t="s">
        <v>487</v>
      </c>
      <c r="E101" s="15">
        <f>1.99*(4/7)</f>
        <v>1.137142857142857</v>
      </c>
      <c r="F101" s="14" t="s">
        <v>488</v>
      </c>
    </row>
    <row r="102" spans="1:15" x14ac:dyDescent="0.4">
      <c r="A102" t="s">
        <v>158</v>
      </c>
      <c r="B102">
        <v>2</v>
      </c>
      <c r="C102" s="15">
        <v>1.99</v>
      </c>
      <c r="D102">
        <v>12</v>
      </c>
      <c r="E102" s="15">
        <f>1.99*(2/12)</f>
        <v>0.33166666666666667</v>
      </c>
      <c r="F102" t="s">
        <v>69</v>
      </c>
    </row>
    <row r="103" spans="1:15" x14ac:dyDescent="0.4">
      <c r="A103" t="s">
        <v>164</v>
      </c>
      <c r="B103">
        <v>4</v>
      </c>
      <c r="C103" s="15">
        <v>1.99</v>
      </c>
      <c r="D103">
        <v>8</v>
      </c>
      <c r="E103" s="15">
        <f>1.99/2</f>
        <v>0.995</v>
      </c>
      <c r="F103" t="s">
        <v>69</v>
      </c>
    </row>
    <row r="104" spans="1:15" x14ac:dyDescent="0.4">
      <c r="A104" t="s">
        <v>147</v>
      </c>
      <c r="B104" t="s">
        <v>22</v>
      </c>
      <c r="C104" s="15">
        <v>6.39</v>
      </c>
      <c r="D104" t="s">
        <v>414</v>
      </c>
      <c r="E104" s="15">
        <f>6.39*(2/33)</f>
        <v>0.38727272727272727</v>
      </c>
      <c r="F104" t="s">
        <v>69</v>
      </c>
    </row>
    <row r="105" spans="1:15" x14ac:dyDescent="0.4">
      <c r="A105" s="1" t="s">
        <v>214</v>
      </c>
      <c r="C105" s="15">
        <f>SUM(C98:C104)</f>
        <v>21.13</v>
      </c>
      <c r="E105" s="15">
        <f>SUM(E98:E104)</f>
        <v>7.7040822510822515</v>
      </c>
    </row>
    <row r="106" spans="1:15" x14ac:dyDescent="0.4">
      <c r="A106" s="11" t="s">
        <v>71</v>
      </c>
      <c r="C106" s="15"/>
      <c r="E106" s="15"/>
    </row>
    <row r="107" spans="1:15" x14ac:dyDescent="0.4">
      <c r="C107" s="15"/>
      <c r="E107" s="15"/>
    </row>
    <row r="108" spans="1:15" x14ac:dyDescent="0.4">
      <c r="A108" s="29" t="s">
        <v>165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17">
        <v>1</v>
      </c>
    </row>
    <row r="109" spans="1:15" x14ac:dyDescent="0.4">
      <c r="A109" t="s">
        <v>166</v>
      </c>
      <c r="B109" t="s">
        <v>167</v>
      </c>
      <c r="C109" s="15">
        <v>3.99</v>
      </c>
      <c r="D109" t="s">
        <v>489</v>
      </c>
      <c r="E109" s="15">
        <f>3.99*(2/14)</f>
        <v>0.56999999999999995</v>
      </c>
      <c r="F109" s="14" t="s">
        <v>490</v>
      </c>
    </row>
    <row r="110" spans="1:15" x14ac:dyDescent="0.4">
      <c r="A110" t="s">
        <v>168</v>
      </c>
      <c r="B110" t="s">
        <v>169</v>
      </c>
      <c r="C110" s="15">
        <v>1.69</v>
      </c>
      <c r="D110" t="s">
        <v>491</v>
      </c>
      <c r="E110" s="15">
        <f>1.69*(1/12)</f>
        <v>0.14083333333333331</v>
      </c>
      <c r="F110" s="14" t="s">
        <v>492</v>
      </c>
    </row>
    <row r="111" spans="1:15" x14ac:dyDescent="0.4">
      <c r="A111" t="s">
        <v>170</v>
      </c>
      <c r="B111" t="s">
        <v>68</v>
      </c>
      <c r="C111" s="15">
        <v>2.99</v>
      </c>
      <c r="D111" t="s">
        <v>493</v>
      </c>
      <c r="E111" s="25">
        <f>2.99*(1/33)</f>
        <v>9.0606060606060621E-2</v>
      </c>
      <c r="F111" s="14" t="s">
        <v>494</v>
      </c>
    </row>
    <row r="112" spans="1:15" x14ac:dyDescent="0.4">
      <c r="A112" t="s">
        <v>171</v>
      </c>
      <c r="B112" t="s">
        <v>172</v>
      </c>
      <c r="C112" s="15">
        <v>1.79</v>
      </c>
      <c r="D112" t="s">
        <v>495</v>
      </c>
      <c r="E112" s="15">
        <f>1.79*(1/68)</f>
        <v>2.6323529411764707E-2</v>
      </c>
      <c r="F112" s="14" t="s">
        <v>496</v>
      </c>
    </row>
    <row r="113" spans="1:6" x14ac:dyDescent="0.4">
      <c r="A113" t="s">
        <v>162</v>
      </c>
      <c r="B113" s="8" t="s">
        <v>173</v>
      </c>
      <c r="C113" s="15">
        <v>0.69</v>
      </c>
      <c r="D113">
        <v>1</v>
      </c>
      <c r="E113" s="15">
        <f>0.69*0.5</f>
        <v>0.34499999999999997</v>
      </c>
      <c r="F113" t="s">
        <v>69</v>
      </c>
    </row>
    <row r="114" spans="1:6" x14ac:dyDescent="0.4">
      <c r="A114" t="s">
        <v>174</v>
      </c>
      <c r="B114" t="s">
        <v>175</v>
      </c>
      <c r="C114" s="15">
        <v>3.59</v>
      </c>
      <c r="D114" t="s">
        <v>465</v>
      </c>
      <c r="E114" s="15">
        <f>3.59*(1/7)</f>
        <v>0.51285714285714279</v>
      </c>
      <c r="F114" t="s">
        <v>69</v>
      </c>
    </row>
    <row r="115" spans="1:6" x14ac:dyDescent="0.4">
      <c r="A115" t="s">
        <v>176</v>
      </c>
      <c r="B115" t="s">
        <v>167</v>
      </c>
      <c r="C115" s="15">
        <v>3.89</v>
      </c>
      <c r="D115">
        <v>4</v>
      </c>
      <c r="E115" s="15">
        <f>3.89*(2/16)</f>
        <v>0.48625000000000002</v>
      </c>
      <c r="F115" s="14" t="s">
        <v>497</v>
      </c>
    </row>
    <row r="116" spans="1:6" x14ac:dyDescent="0.4">
      <c r="A116" t="s">
        <v>177</v>
      </c>
      <c r="B116" t="s">
        <v>173</v>
      </c>
      <c r="C116" s="15">
        <v>1.69</v>
      </c>
      <c r="D116">
        <v>2</v>
      </c>
      <c r="E116" s="15">
        <f>1.69*(1/4)</f>
        <v>0.42249999999999999</v>
      </c>
      <c r="F116" s="14" t="s">
        <v>498</v>
      </c>
    </row>
    <row r="117" spans="1:6" x14ac:dyDescent="0.4">
      <c r="A117" t="s">
        <v>178</v>
      </c>
      <c r="B117" t="s">
        <v>179</v>
      </c>
      <c r="C117" s="15">
        <v>0.99</v>
      </c>
      <c r="D117">
        <v>1</v>
      </c>
      <c r="E117" s="15">
        <f>0.99*0.25</f>
        <v>0.2475</v>
      </c>
      <c r="F117" s="14" t="s">
        <v>499</v>
      </c>
    </row>
    <row r="118" spans="1:6" x14ac:dyDescent="0.4">
      <c r="A118" t="s">
        <v>180</v>
      </c>
      <c r="B118" t="s">
        <v>38</v>
      </c>
      <c r="C118" s="15" t="s">
        <v>284</v>
      </c>
      <c r="D118" t="s">
        <v>284</v>
      </c>
      <c r="E118" s="15" t="s">
        <v>284</v>
      </c>
      <c r="F118" s="15" t="s">
        <v>427</v>
      </c>
    </row>
    <row r="119" spans="1:6" x14ac:dyDescent="0.4">
      <c r="A119" t="s">
        <v>26</v>
      </c>
      <c r="B119" t="s">
        <v>182</v>
      </c>
      <c r="C119" s="15">
        <v>1.99</v>
      </c>
      <c r="D119" t="s">
        <v>416</v>
      </c>
      <c r="E119" s="15">
        <f>1.99*(2/71)</f>
        <v>5.6056338028169013E-2</v>
      </c>
      <c r="F119" t="s">
        <v>69</v>
      </c>
    </row>
    <row r="120" spans="1:6" x14ac:dyDescent="0.4">
      <c r="A120" s="1" t="s">
        <v>214</v>
      </c>
      <c r="C120" s="15">
        <f>SUM(C109:C119)</f>
        <v>23.299999999999997</v>
      </c>
      <c r="E120" s="15">
        <f>SUM(E109:E119)</f>
        <v>2.8979264042364701</v>
      </c>
    </row>
    <row r="121" spans="1:6" x14ac:dyDescent="0.4">
      <c r="A121" s="11" t="s">
        <v>71</v>
      </c>
      <c r="C121" s="15"/>
      <c r="E121" s="15"/>
    </row>
    <row r="122" spans="1:6" x14ac:dyDescent="0.4">
      <c r="C122" s="15"/>
      <c r="E122" s="15"/>
    </row>
  </sheetData>
  <mergeCells count="10">
    <mergeCell ref="A97:N97"/>
    <mergeCell ref="A108:N108"/>
    <mergeCell ref="A3:N3"/>
    <mergeCell ref="A14:N14"/>
    <mergeCell ref="A24:N24"/>
    <mergeCell ref="A35:N35"/>
    <mergeCell ref="A49:N49"/>
    <mergeCell ref="A61:N61"/>
    <mergeCell ref="A70:N70"/>
    <mergeCell ref="A86:N86"/>
  </mergeCells>
  <hyperlinks>
    <hyperlink ref="F4" r:id="rId1" location="lnk=sametab" xr:uid="{8EEA1225-A478-415D-B7C1-A766C607DA62}"/>
    <hyperlink ref="F5" r:id="rId2" location="lnk=sametab" xr:uid="{662ED0C2-751E-4A50-A556-B37129ED09AA}"/>
    <hyperlink ref="F6" r:id="rId3" location="lnk=sametab" xr:uid="{74C03397-CE98-4DF1-8F16-6CE817F3DC45}"/>
    <hyperlink ref="F7" r:id="rId4" location="lnk=sametab" xr:uid="{BCB6ABC7-529A-4B4E-A329-8310BA5CB26D}"/>
    <hyperlink ref="F8" r:id="rId5" location="lnk=sametab" xr:uid="{54DD8854-FC43-4EF7-B2A8-05B652714F03}"/>
    <hyperlink ref="F9" r:id="rId6" location="lnk=sametab" xr:uid="{D0C4711B-C21D-486B-8E5E-A4FAA4BCDCEC}"/>
    <hyperlink ref="F10" r:id="rId7" location="lnk=sametab" xr:uid="{FE562DDC-9685-4236-9881-E8D65B74416A}"/>
    <hyperlink ref="F15" r:id="rId8" location="lnk=sametab" xr:uid="{07926A07-E32B-4A18-A35D-C77611382494}"/>
    <hyperlink ref="F17" r:id="rId9" location="lnk=sametab" xr:uid="{3D9801D0-6202-46F1-AD65-429DE3C1DAAB}"/>
    <hyperlink ref="F16" r:id="rId10" location="lnk=sametab" xr:uid="{0DAF42BC-E45E-4976-B81D-C1C35AF24044}"/>
    <hyperlink ref="F19" r:id="rId11" location="lnk=sametab" xr:uid="{35AEEE95-8371-4D1A-854D-76FC61DAA325}"/>
    <hyperlink ref="F20" r:id="rId12" location="lnk=sametab" xr:uid="{8447FBA0-64AE-453A-808E-276D68E4360A}"/>
    <hyperlink ref="F25" r:id="rId13" location="lnk=sametab" xr:uid="{35E085DA-EAA0-43C1-8AAE-571D6CFC9988}"/>
    <hyperlink ref="F27" r:id="rId14" location="lnk=sametab" xr:uid="{36CC1FEA-6DF3-4978-A9D2-CA4FE4DEAB23}"/>
    <hyperlink ref="F26" r:id="rId15" location="lnk=sametab" xr:uid="{3538CE61-1B0E-4EA9-A081-A11C59F7A1C0}"/>
    <hyperlink ref="F28" r:id="rId16" location="lnk=sametab" xr:uid="{F16B66E8-7ED8-4E4C-957F-562ACB1504E4}"/>
    <hyperlink ref="F29" r:id="rId17" location="lnk=sametab" xr:uid="{1204C72A-7620-46E3-A8F4-54431566F134}"/>
    <hyperlink ref="F101" r:id="rId18" location="lnk=sametab" xr:uid="{53801A0D-B55A-4C84-A6E8-920D197C2295}"/>
    <hyperlink ref="F64" r:id="rId19" location="lnk=sametab" xr:uid="{B4199230-62E8-4B11-B4D2-8CF9BA070180}"/>
    <hyperlink ref="F36" r:id="rId20" location="lnk=sametab" xr:uid="{0695C928-DE8A-406D-B466-DF229CA8C987}"/>
    <hyperlink ref="F37" r:id="rId21" location="lnk=sametab" xr:uid="{CCCD2E26-124B-4906-9F4E-809DFE5A0991}"/>
    <hyperlink ref="F72" r:id="rId22" location="lnk=sametab" xr:uid="{FA80EB9B-5CA9-48C5-803A-35183DCE4921}"/>
    <hyperlink ref="F38" r:id="rId23" location="lnk=sametab" xr:uid="{5961E523-3474-48AD-9174-1DFA80F5465E}"/>
    <hyperlink ref="F40" r:id="rId24" location="lnk=sametab" xr:uid="{0B241A41-E940-4DEF-B08D-8E515E3B8139}"/>
    <hyperlink ref="F39" r:id="rId25" location="lnk=sametab" xr:uid="{51AA847D-0CDA-43AA-9C46-B92CB0A9B4E7}"/>
    <hyperlink ref="F41" r:id="rId26" location="lnk=sametab" xr:uid="{AC3BD10E-B678-4BC9-A124-B6476384FB0C}"/>
    <hyperlink ref="F44" r:id="rId27" location="lnk=sametab" xr:uid="{7A1A3195-0812-4FEB-AF7A-98AC261852CF}"/>
    <hyperlink ref="F56" r:id="rId28" location="lnk=sametab" xr:uid="{E843FE7C-8A68-44B7-BE1F-4FA7FD27C1D0}"/>
    <hyperlink ref="F45" r:id="rId29" location="lnk=sametab" xr:uid="{C4D911A8-000D-4BDE-B8B1-0739D28B2971}"/>
    <hyperlink ref="G50" r:id="rId30" location="lnk=sametab" xr:uid="{D98DAE42-637A-44E3-A1BD-6AF077A1410B}"/>
    <hyperlink ref="F51" r:id="rId31" location="lnk=sametab" xr:uid="{42E26C26-81A9-4378-8C67-9C763543B9C0}"/>
    <hyperlink ref="F53" r:id="rId32" location="lnk=sametab" xr:uid="{4499FF80-59A1-4E88-BBCE-879406358399}"/>
    <hyperlink ref="F52" r:id="rId33" location="lnk=sametab" xr:uid="{D068F7A0-67E6-4117-800E-1BD61D1CD8A5}"/>
    <hyperlink ref="F57" r:id="rId34" location="lnk=sametab" xr:uid="{46F12EEF-88B7-40E4-AB21-59F49464A208}"/>
    <hyperlink ref="F62" r:id="rId35" location="lnk=sametab" xr:uid="{541E9F83-F2FF-41BD-8CB1-B8CB6B5F0C6A}"/>
    <hyperlink ref="F66" r:id="rId36" location="lnk=sametab" xr:uid="{4AF6C8A0-D7FE-42A0-B1B8-123BE29E57E6}"/>
    <hyperlink ref="F71" r:id="rId37" location="lnk=sametab" xr:uid="{F100B00C-69E7-4391-91FD-D90995D5949C}"/>
    <hyperlink ref="F73" r:id="rId38" location="lnk=sametab" xr:uid="{AE7CBB07-FDD6-4D1E-9EB3-12A683CA3768}"/>
    <hyperlink ref="F76" r:id="rId39" location="lnk=sametab" xr:uid="{DAB9E4A0-49F0-4A52-8B9C-EFD5E37CAD91}"/>
    <hyperlink ref="F77" r:id="rId40" location="lnk=sametab" xr:uid="{7ACC2394-E3A6-4762-B8E1-554E8B5CCF8D}"/>
    <hyperlink ref="F78" r:id="rId41" location="lnk=sametab" xr:uid="{E4DEF661-ED7D-4532-97F2-FF61326E9ADF}"/>
    <hyperlink ref="F81" r:id="rId42" location="lnk=sametab" xr:uid="{1ED964E8-2546-4B14-A620-5FC3E7037D85}"/>
    <hyperlink ref="F82" r:id="rId43" location="lnk=sametab" xr:uid="{EC845467-E8D2-4809-8D08-92BA765FE03C}"/>
    <hyperlink ref="F89" r:id="rId44" location="lnk=sametab" xr:uid="{E168D3D8-B545-429B-B55C-9C6CE76AACA6}"/>
    <hyperlink ref="F100" r:id="rId45" location="lnk=sametab" xr:uid="{66C4DA2B-B71D-4992-A502-479ADB277790}"/>
    <hyperlink ref="F109" r:id="rId46" location="lnk=sametab" xr:uid="{A17D4B92-D664-4AF1-B1C4-4875D978483F}"/>
    <hyperlink ref="F110" r:id="rId47" location="lnk=sametab" xr:uid="{FBA90A2E-81E1-4DEC-9A6E-1D98DE8D3D31}"/>
    <hyperlink ref="F111" r:id="rId48" location="lnk=sametab" xr:uid="{F0CE0E91-950E-4566-BD55-872ADA695A9A}"/>
    <hyperlink ref="F117" r:id="rId49" location="lnk=sametab" xr:uid="{AF2C059A-ACF3-44C0-B297-7A24E8D87A41}"/>
    <hyperlink ref="F116" r:id="rId50" location="lnk=sametab" xr:uid="{F14B0222-3E94-44CC-A3A1-3FDBB4F5B96B}"/>
    <hyperlink ref="F115" r:id="rId51" location="lnk=sametab" xr:uid="{2928B8CB-66E2-4163-A84F-BCE129529B57}"/>
    <hyperlink ref="F112" r:id="rId52" location="lnk=sametab" xr:uid="{E476BABB-368F-4A7C-ACBA-4917E7D263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B4A8-C36D-451D-8CED-3D51E56053D4}">
  <dimension ref="A1:O121"/>
  <sheetViews>
    <sheetView topLeftCell="A101" workbookViewId="0">
      <selection activeCell="E8" sqref="E8"/>
    </sheetView>
  </sheetViews>
  <sheetFormatPr defaultRowHeight="14.6" x14ac:dyDescent="0.4"/>
  <cols>
    <col min="1" max="1" width="29.69140625" customWidth="1"/>
    <col min="2" max="2" width="16.69140625" bestFit="1" customWidth="1"/>
    <col min="3" max="3" width="8.15234375" style="15" customWidth="1"/>
    <col min="4" max="4" width="15.69140625" bestFit="1" customWidth="1"/>
    <col min="5" max="5" width="10.3046875" style="15" bestFit="1" customWidth="1"/>
  </cols>
  <sheetData>
    <row r="1" spans="1:15" s="1" customFormat="1" x14ac:dyDescent="0.4">
      <c r="A1" s="6" t="s">
        <v>0</v>
      </c>
      <c r="B1" s="7" t="s">
        <v>195</v>
      </c>
      <c r="C1" s="16" t="s">
        <v>196</v>
      </c>
      <c r="D1" s="6" t="s">
        <v>197</v>
      </c>
      <c r="E1" s="16" t="s">
        <v>198</v>
      </c>
      <c r="F1" s="6" t="s">
        <v>8</v>
      </c>
      <c r="G1" s="6"/>
      <c r="H1" s="6"/>
      <c r="I1" s="6"/>
      <c r="J1" s="6"/>
      <c r="K1" s="6"/>
      <c r="L1" s="6"/>
      <c r="M1" s="6"/>
      <c r="N1" s="6"/>
      <c r="O1" s="6"/>
    </row>
    <row r="2" spans="1:15" x14ac:dyDescent="0.4">
      <c r="A2" s="1"/>
    </row>
    <row r="3" spans="1:15" x14ac:dyDescent="0.4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7">
        <v>6</v>
      </c>
    </row>
    <row r="4" spans="1:15" x14ac:dyDescent="0.4">
      <c r="A4" t="s">
        <v>11</v>
      </c>
      <c r="B4" t="s">
        <v>12</v>
      </c>
      <c r="C4" s="15">
        <v>3.49</v>
      </c>
      <c r="D4" t="s">
        <v>500</v>
      </c>
      <c r="E4" s="15">
        <v>3.49</v>
      </c>
      <c r="F4" s="14" t="s">
        <v>501</v>
      </c>
    </row>
    <row r="5" spans="1:15" x14ac:dyDescent="0.4">
      <c r="A5" t="s">
        <v>15</v>
      </c>
      <c r="B5" t="s">
        <v>16</v>
      </c>
      <c r="C5" s="15">
        <v>4.99</v>
      </c>
      <c r="D5" t="s">
        <v>502</v>
      </c>
      <c r="E5" s="15">
        <v>4.99</v>
      </c>
      <c r="F5" s="14" t="s">
        <v>503</v>
      </c>
    </row>
    <row r="6" spans="1:15" x14ac:dyDescent="0.4">
      <c r="A6" t="s">
        <v>203</v>
      </c>
      <c r="B6" t="s">
        <v>204</v>
      </c>
      <c r="C6" s="15">
        <v>3.99</v>
      </c>
      <c r="D6" t="s">
        <v>504</v>
      </c>
      <c r="E6" s="15">
        <v>3.99</v>
      </c>
      <c r="F6" s="14" t="s">
        <v>505</v>
      </c>
    </row>
    <row r="7" spans="1:15" x14ac:dyDescent="0.4">
      <c r="A7" t="s">
        <v>21</v>
      </c>
      <c r="B7" t="s">
        <v>22</v>
      </c>
      <c r="C7" s="15">
        <v>6.99</v>
      </c>
      <c r="D7" t="s">
        <v>414</v>
      </c>
      <c r="E7" s="15">
        <f>6.99*(2/33)</f>
        <v>0.42363636363636364</v>
      </c>
      <c r="F7" s="14" t="s">
        <v>506</v>
      </c>
    </row>
    <row r="8" spans="1:15" x14ac:dyDescent="0.4">
      <c r="A8" t="s">
        <v>26</v>
      </c>
      <c r="B8" t="s">
        <v>27</v>
      </c>
      <c r="C8" s="15">
        <v>1.99</v>
      </c>
      <c r="D8" t="s">
        <v>416</v>
      </c>
      <c r="E8" s="15">
        <f>1.99*(4/71)</f>
        <v>0.11211267605633803</v>
      </c>
      <c r="F8" s="14" t="s">
        <v>507</v>
      </c>
    </row>
    <row r="9" spans="1:15" x14ac:dyDescent="0.4">
      <c r="A9" t="s">
        <v>30</v>
      </c>
      <c r="B9" t="s">
        <v>22</v>
      </c>
      <c r="C9" s="15">
        <v>2.4900000000000002</v>
      </c>
      <c r="D9" t="s">
        <v>508</v>
      </c>
      <c r="E9" s="15">
        <f>2.49*(2/8)</f>
        <v>0.62250000000000005</v>
      </c>
      <c r="F9" s="14" t="s">
        <v>509</v>
      </c>
    </row>
    <row r="10" spans="1:15" x14ac:dyDescent="0.4">
      <c r="A10" t="s">
        <v>32</v>
      </c>
      <c r="B10" t="s">
        <v>33</v>
      </c>
      <c r="C10" s="15">
        <v>1</v>
      </c>
      <c r="D10" t="s">
        <v>223</v>
      </c>
      <c r="E10" s="15">
        <f>1*(1/2)</f>
        <v>0.5</v>
      </c>
      <c r="F10" s="14" t="s">
        <v>510</v>
      </c>
    </row>
    <row r="11" spans="1:15" x14ac:dyDescent="0.4">
      <c r="A11" s="1" t="s">
        <v>214</v>
      </c>
      <c r="C11" s="15">
        <f>SUM(C4:C10)</f>
        <v>24.939999999999998</v>
      </c>
      <c r="E11" s="15">
        <f>SUM(E4:E10)</f>
        <v>14.128249039692703</v>
      </c>
    </row>
    <row r="12" spans="1:15" x14ac:dyDescent="0.4">
      <c r="A12" s="11" t="s">
        <v>35</v>
      </c>
    </row>
    <row r="13" spans="1:15" x14ac:dyDescent="0.4">
      <c r="A13" s="11"/>
    </row>
    <row r="14" spans="1:15" x14ac:dyDescent="0.4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17">
        <v>1</v>
      </c>
    </row>
    <row r="15" spans="1:15" x14ac:dyDescent="0.4">
      <c r="A15" t="s">
        <v>37</v>
      </c>
      <c r="B15" t="s">
        <v>38</v>
      </c>
      <c r="C15" s="15">
        <v>3.99</v>
      </c>
      <c r="D15" t="s">
        <v>511</v>
      </c>
      <c r="E15" s="15">
        <f>3.99*(1/60)</f>
        <v>6.6500000000000004E-2</v>
      </c>
      <c r="F15" s="14" t="s">
        <v>512</v>
      </c>
    </row>
    <row r="16" spans="1:15" x14ac:dyDescent="0.4">
      <c r="A16" t="s">
        <v>41</v>
      </c>
      <c r="B16" t="s">
        <v>38</v>
      </c>
      <c r="C16" s="15">
        <v>3.79</v>
      </c>
      <c r="D16" t="s">
        <v>513</v>
      </c>
      <c r="E16" s="15">
        <f>3.79*(1/15)</f>
        <v>0.25266666666666665</v>
      </c>
      <c r="F16" s="14" t="s">
        <v>514</v>
      </c>
    </row>
    <row r="17" spans="1:15" x14ac:dyDescent="0.4">
      <c r="A17" t="s">
        <v>43</v>
      </c>
      <c r="B17" t="s">
        <v>44</v>
      </c>
      <c r="C17" s="15">
        <v>1.62</v>
      </c>
      <c r="D17" t="s">
        <v>515</v>
      </c>
      <c r="E17" s="15">
        <f>1.62*(1/12)</f>
        <v>0.13500000000000001</v>
      </c>
      <c r="F17" s="14" t="s">
        <v>516</v>
      </c>
    </row>
    <row r="18" spans="1:15" x14ac:dyDescent="0.4">
      <c r="A18" t="s">
        <v>46</v>
      </c>
      <c r="B18" t="s">
        <v>47</v>
      </c>
      <c r="C18" s="15">
        <v>5.39</v>
      </c>
      <c r="D18" t="s">
        <v>517</v>
      </c>
      <c r="E18" s="15">
        <f>(2/45)*5.39</f>
        <v>0.23955555555555555</v>
      </c>
      <c r="F18" s="14" t="s">
        <v>518</v>
      </c>
    </row>
    <row r="19" spans="1:15" x14ac:dyDescent="0.4">
      <c r="A19" t="s">
        <v>222</v>
      </c>
      <c r="B19" t="s">
        <v>38</v>
      </c>
      <c r="C19" s="15">
        <v>4.99</v>
      </c>
      <c r="D19" t="s">
        <v>428</v>
      </c>
      <c r="E19" s="15">
        <f>4.99*(1/8)</f>
        <v>0.62375000000000003</v>
      </c>
      <c r="F19" s="14" t="s">
        <v>519</v>
      </c>
    </row>
    <row r="20" spans="1:15" x14ac:dyDescent="0.4">
      <c r="A20" t="s">
        <v>50</v>
      </c>
      <c r="B20" t="s">
        <v>47</v>
      </c>
      <c r="C20" s="15">
        <v>3.69</v>
      </c>
      <c r="D20" t="s">
        <v>430</v>
      </c>
      <c r="E20" s="15">
        <f>3.69*(2/48)</f>
        <v>0.15375</v>
      </c>
      <c r="F20" s="14" t="s">
        <v>520</v>
      </c>
    </row>
    <row r="21" spans="1:15" x14ac:dyDescent="0.4">
      <c r="A21" s="1" t="s">
        <v>214</v>
      </c>
      <c r="C21" s="15">
        <f>SUM(C15:C20)</f>
        <v>23.470000000000002</v>
      </c>
      <c r="E21" s="15">
        <f>SUM(E15:E20)</f>
        <v>1.4712222222222224</v>
      </c>
    </row>
    <row r="22" spans="1:15" x14ac:dyDescent="0.4">
      <c r="A22" s="12" t="s">
        <v>52</v>
      </c>
    </row>
    <row r="23" spans="1:15" x14ac:dyDescent="0.4">
      <c r="A23" s="10"/>
    </row>
    <row r="24" spans="1:15" x14ac:dyDescent="0.4">
      <c r="A24" s="29" t="s">
        <v>53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17">
        <v>4</v>
      </c>
    </row>
    <row r="25" spans="1:15" x14ac:dyDescent="0.4">
      <c r="A25" t="s">
        <v>54</v>
      </c>
      <c r="B25">
        <v>8</v>
      </c>
      <c r="C25" s="15">
        <v>2.99</v>
      </c>
      <c r="D25" t="s">
        <v>521</v>
      </c>
      <c r="E25" s="15">
        <v>2.99</v>
      </c>
      <c r="F25" s="14" t="s">
        <v>522</v>
      </c>
    </row>
    <row r="26" spans="1:15" x14ac:dyDescent="0.4">
      <c r="A26" t="s">
        <v>56</v>
      </c>
      <c r="B26" t="s">
        <v>57</v>
      </c>
      <c r="C26" s="15">
        <v>3.29</v>
      </c>
      <c r="D26" t="s">
        <v>523</v>
      </c>
      <c r="E26" s="15">
        <f>3.29*(1/32)</f>
        <v>0.1028125</v>
      </c>
      <c r="F26" s="14" t="s">
        <v>524</v>
      </c>
    </row>
    <row r="27" spans="1:15" x14ac:dyDescent="0.4">
      <c r="A27" s="3" t="s">
        <v>60</v>
      </c>
      <c r="B27" t="s">
        <v>61</v>
      </c>
      <c r="C27" s="15">
        <v>4.99</v>
      </c>
      <c r="D27" t="s">
        <v>525</v>
      </c>
      <c r="E27" s="15">
        <f>4.99*(2/4)</f>
        <v>2.4950000000000001</v>
      </c>
      <c r="F27" s="14" t="s">
        <v>526</v>
      </c>
    </row>
    <row r="28" spans="1:15" x14ac:dyDescent="0.4">
      <c r="A28" t="s">
        <v>63</v>
      </c>
      <c r="B28" t="s">
        <v>64</v>
      </c>
      <c r="C28" s="15">
        <v>0.89</v>
      </c>
      <c r="D28" t="s">
        <v>64</v>
      </c>
      <c r="E28" s="15">
        <v>0.89</v>
      </c>
      <c r="F28" s="14" t="s">
        <v>527</v>
      </c>
    </row>
    <row r="29" spans="1:15" x14ac:dyDescent="0.4">
      <c r="A29" t="s">
        <v>66</v>
      </c>
      <c r="B29" t="s">
        <v>38</v>
      </c>
      <c r="C29" s="15">
        <v>1.99</v>
      </c>
      <c r="D29" t="s">
        <v>528</v>
      </c>
      <c r="E29" s="15">
        <f>1.99*(1/8)</f>
        <v>0.24875</v>
      </c>
      <c r="F29" s="14" t="s">
        <v>529</v>
      </c>
    </row>
    <row r="30" spans="1:15" x14ac:dyDescent="0.4">
      <c r="A30" t="s">
        <v>26</v>
      </c>
      <c r="B30" t="s">
        <v>68</v>
      </c>
      <c r="C30" s="15">
        <v>1.99</v>
      </c>
      <c r="D30" t="s">
        <v>416</v>
      </c>
      <c r="E30" s="15">
        <f>1.99*(2/71)</f>
        <v>5.6056338028169013E-2</v>
      </c>
      <c r="F30" t="s">
        <v>69</v>
      </c>
    </row>
    <row r="31" spans="1:15" x14ac:dyDescent="0.4">
      <c r="A31" t="s">
        <v>70</v>
      </c>
      <c r="B31" t="s">
        <v>229</v>
      </c>
      <c r="C31" s="15">
        <v>6.99</v>
      </c>
      <c r="D31" t="s">
        <v>414</v>
      </c>
      <c r="E31" s="15">
        <f>6.99*(1/33)</f>
        <v>0.21181818181818182</v>
      </c>
      <c r="F31" t="s">
        <v>69</v>
      </c>
    </row>
    <row r="32" spans="1:15" x14ac:dyDescent="0.4">
      <c r="A32" s="1" t="s">
        <v>214</v>
      </c>
      <c r="C32" s="15">
        <f>SUM(C26:C31)</f>
        <v>20.14</v>
      </c>
      <c r="E32" s="15">
        <f>SUM(E26:E31)</f>
        <v>4.0044370198463506</v>
      </c>
    </row>
    <row r="33" spans="1:15" x14ac:dyDescent="0.4">
      <c r="A33" s="11" t="s">
        <v>71</v>
      </c>
    </row>
    <row r="34" spans="1:15" x14ac:dyDescent="0.4">
      <c r="A34" s="1"/>
    </row>
    <row r="35" spans="1:15" x14ac:dyDescent="0.4">
      <c r="A35" s="29" t="s">
        <v>72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17">
        <v>6</v>
      </c>
    </row>
    <row r="36" spans="1:15" x14ac:dyDescent="0.4">
      <c r="A36" s="3" t="s">
        <v>73</v>
      </c>
      <c r="B36" t="s">
        <v>74</v>
      </c>
      <c r="C36" s="19">
        <v>6.89</v>
      </c>
      <c r="D36" s="20" t="s">
        <v>149</v>
      </c>
      <c r="E36" s="19">
        <v>6.89</v>
      </c>
      <c r="F36" s="14" t="s">
        <v>530</v>
      </c>
      <c r="G36" s="2"/>
      <c r="H36" s="2"/>
      <c r="I36" s="2"/>
      <c r="J36" s="2"/>
      <c r="K36" s="2"/>
      <c r="L36" s="2"/>
      <c r="M36" s="2"/>
      <c r="N36" s="2"/>
    </row>
    <row r="37" spans="1:15" x14ac:dyDescent="0.4">
      <c r="A37" s="3" t="s">
        <v>76</v>
      </c>
      <c r="B37" s="18">
        <v>1</v>
      </c>
      <c r="C37" s="19">
        <v>0.54</v>
      </c>
      <c r="D37" s="20">
        <v>1</v>
      </c>
      <c r="E37" s="19">
        <v>0.54</v>
      </c>
      <c r="F37" s="14" t="s">
        <v>531</v>
      </c>
      <c r="G37" s="19"/>
      <c r="H37" s="14"/>
      <c r="I37" s="2"/>
      <c r="J37" s="2"/>
      <c r="K37" s="2"/>
      <c r="L37" s="2"/>
      <c r="M37" s="2"/>
      <c r="N37" s="2"/>
    </row>
    <row r="38" spans="1:15" x14ac:dyDescent="0.4">
      <c r="A38" t="s">
        <v>79</v>
      </c>
      <c r="B38" t="s">
        <v>64</v>
      </c>
      <c r="C38" s="19">
        <v>1</v>
      </c>
      <c r="D38" s="20" t="s">
        <v>409</v>
      </c>
      <c r="E38" s="19">
        <v>1</v>
      </c>
      <c r="F38" s="14" t="s">
        <v>532</v>
      </c>
      <c r="G38" s="2"/>
      <c r="H38" s="2"/>
      <c r="I38" s="2"/>
      <c r="J38" s="2"/>
      <c r="K38" s="2"/>
      <c r="L38" s="2"/>
      <c r="M38" s="2"/>
      <c r="N38" s="2"/>
    </row>
    <row r="39" spans="1:15" x14ac:dyDescent="0.4">
      <c r="A39" t="s">
        <v>82</v>
      </c>
      <c r="B39" t="s">
        <v>83</v>
      </c>
      <c r="C39" s="19">
        <v>0.79</v>
      </c>
      <c r="D39" s="20" t="s">
        <v>533</v>
      </c>
      <c r="E39" s="19">
        <v>0.79</v>
      </c>
      <c r="F39" s="14" t="s">
        <v>534</v>
      </c>
      <c r="G39" s="2"/>
      <c r="H39" s="2"/>
      <c r="I39" s="2"/>
      <c r="J39" s="2"/>
      <c r="K39" s="2"/>
      <c r="L39" s="2"/>
      <c r="M39" s="2"/>
      <c r="N39" s="2"/>
    </row>
    <row r="40" spans="1:15" x14ac:dyDescent="0.4">
      <c r="A40" t="s">
        <v>230</v>
      </c>
      <c r="B40" t="s">
        <v>64</v>
      </c>
      <c r="C40" s="15">
        <v>0.89</v>
      </c>
      <c r="D40" t="s">
        <v>535</v>
      </c>
      <c r="E40" s="15">
        <v>0.89</v>
      </c>
      <c r="F40" s="14" t="s">
        <v>536</v>
      </c>
    </row>
    <row r="41" spans="1:15" x14ac:dyDescent="0.4">
      <c r="A41" t="s">
        <v>89</v>
      </c>
      <c r="B41" t="s">
        <v>64</v>
      </c>
      <c r="C41" s="15">
        <v>0.75</v>
      </c>
      <c r="D41" t="s">
        <v>537</v>
      </c>
      <c r="E41" s="15">
        <v>0.75</v>
      </c>
      <c r="F41" s="14" t="s">
        <v>538</v>
      </c>
    </row>
    <row r="42" spans="1:15" x14ac:dyDescent="0.4">
      <c r="A42" t="s">
        <v>26</v>
      </c>
      <c r="B42" t="s">
        <v>91</v>
      </c>
      <c r="C42" s="15">
        <v>1.99</v>
      </c>
      <c r="D42" t="s">
        <v>416</v>
      </c>
      <c r="E42" s="15">
        <f>1.99*(2/71)</f>
        <v>5.6056338028169013E-2</v>
      </c>
      <c r="F42" t="s">
        <v>69</v>
      </c>
    </row>
    <row r="43" spans="1:15" x14ac:dyDescent="0.4">
      <c r="A43" t="s">
        <v>66</v>
      </c>
      <c r="B43" t="s">
        <v>446</v>
      </c>
      <c r="C43" s="15">
        <v>1.99</v>
      </c>
      <c r="D43" t="s">
        <v>539</v>
      </c>
      <c r="E43" s="15">
        <f>1.99*(3/4)</f>
        <v>1.4924999999999999</v>
      </c>
      <c r="F43" s="14" t="s">
        <v>529</v>
      </c>
    </row>
    <row r="44" spans="1:15" x14ac:dyDescent="0.4">
      <c r="A44" t="s">
        <v>93</v>
      </c>
      <c r="B44" t="s">
        <v>94</v>
      </c>
      <c r="C44" s="15">
        <v>5.49</v>
      </c>
      <c r="D44" t="s">
        <v>540</v>
      </c>
      <c r="E44" s="15">
        <f>5.49*(1/2)</f>
        <v>2.7450000000000001</v>
      </c>
      <c r="F44" s="14" t="s">
        <v>541</v>
      </c>
    </row>
    <row r="45" spans="1:15" x14ac:dyDescent="0.4">
      <c r="A45" t="s">
        <v>96</v>
      </c>
      <c r="B45" t="s">
        <v>231</v>
      </c>
      <c r="C45" s="15">
        <v>1.29</v>
      </c>
      <c r="D45" t="s">
        <v>542</v>
      </c>
      <c r="E45" s="15">
        <v>1.29</v>
      </c>
      <c r="F45" s="14" t="s">
        <v>543</v>
      </c>
    </row>
    <row r="46" spans="1:15" x14ac:dyDescent="0.4">
      <c r="A46" s="1" t="s">
        <v>214</v>
      </c>
      <c r="C46" s="15">
        <f>SUM(C36:C45)</f>
        <v>21.619999999999997</v>
      </c>
      <c r="E46" s="15">
        <f>SUM(E36:E45)</f>
        <v>16.443556338028166</v>
      </c>
    </row>
    <row r="47" spans="1:15" x14ac:dyDescent="0.4">
      <c r="A47" s="11" t="s">
        <v>71</v>
      </c>
    </row>
    <row r="49" spans="1:15" x14ac:dyDescent="0.4">
      <c r="A49" s="29" t="s">
        <v>99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17">
        <v>4</v>
      </c>
    </row>
    <row r="50" spans="1:15" x14ac:dyDescent="0.4">
      <c r="A50" t="s">
        <v>100</v>
      </c>
      <c r="B50" t="s">
        <v>101</v>
      </c>
      <c r="C50" s="15">
        <v>3.69</v>
      </c>
      <c r="D50" t="s">
        <v>544</v>
      </c>
      <c r="E50" s="15">
        <f>3.69*(2/19)</f>
        <v>0.38842105263157894</v>
      </c>
      <c r="F50" s="14" t="s">
        <v>545</v>
      </c>
    </row>
    <row r="51" spans="1:15" x14ac:dyDescent="0.4">
      <c r="A51" t="s">
        <v>103</v>
      </c>
      <c r="B51" t="s">
        <v>104</v>
      </c>
      <c r="C51" s="15">
        <v>3.49</v>
      </c>
      <c r="D51" t="s">
        <v>455</v>
      </c>
      <c r="E51" s="15">
        <f>3.49*(2/151)</f>
        <v>4.6225165562913909E-2</v>
      </c>
      <c r="F51" s="14" t="s">
        <v>546</v>
      </c>
    </row>
    <row r="52" spans="1:15" x14ac:dyDescent="0.4">
      <c r="A52" s="3" t="s">
        <v>106</v>
      </c>
      <c r="B52" t="s">
        <v>47</v>
      </c>
      <c r="C52" s="15">
        <v>2.59</v>
      </c>
      <c r="D52" t="s">
        <v>547</v>
      </c>
      <c r="E52" s="15">
        <f>2.59*(2/46)</f>
        <v>0.11260869565217391</v>
      </c>
      <c r="F52" s="14" t="s">
        <v>548</v>
      </c>
    </row>
    <row r="53" spans="1:15" x14ac:dyDescent="0.4">
      <c r="A53" s="3" t="s">
        <v>108</v>
      </c>
      <c r="B53" t="s">
        <v>109</v>
      </c>
      <c r="C53" s="15">
        <v>0.99</v>
      </c>
      <c r="D53" t="s">
        <v>549</v>
      </c>
      <c r="E53" s="15">
        <f>0.99*(0.5/90)</f>
        <v>5.5000000000000005E-3</v>
      </c>
      <c r="F53" s="14" t="s">
        <v>550</v>
      </c>
    </row>
    <row r="54" spans="1:15" x14ac:dyDescent="0.4">
      <c r="A54" t="s">
        <v>111</v>
      </c>
      <c r="B54" t="s">
        <v>109</v>
      </c>
      <c r="C54" s="15">
        <v>1.99</v>
      </c>
      <c r="D54" t="s">
        <v>416</v>
      </c>
      <c r="E54" s="15">
        <f>1.99*(1/71)</f>
        <v>2.8028169014084506E-2</v>
      </c>
      <c r="F54" t="s">
        <v>69</v>
      </c>
    </row>
    <row r="55" spans="1:15" x14ac:dyDescent="0.4">
      <c r="A55" t="s">
        <v>113</v>
      </c>
      <c r="B55" t="s">
        <v>114</v>
      </c>
      <c r="C55" s="15">
        <v>1.79</v>
      </c>
      <c r="D55" t="s">
        <v>551</v>
      </c>
      <c r="E55" s="15">
        <f>1.79*(2.25/4)</f>
        <v>1.006875</v>
      </c>
      <c r="F55" s="14" t="s">
        <v>552</v>
      </c>
    </row>
    <row r="56" spans="1:15" x14ac:dyDescent="0.4">
      <c r="A56" t="s">
        <v>116</v>
      </c>
      <c r="B56">
        <v>2</v>
      </c>
      <c r="C56" s="15">
        <v>1.99</v>
      </c>
      <c r="D56" t="s">
        <v>553</v>
      </c>
      <c r="E56" s="15">
        <f>1.99*(2/12)</f>
        <v>0.33166666666666667</v>
      </c>
      <c r="F56" s="14" t="s">
        <v>554</v>
      </c>
    </row>
    <row r="57" spans="1:15" x14ac:dyDescent="0.4">
      <c r="A57" t="s">
        <v>118</v>
      </c>
      <c r="B57" t="s">
        <v>119</v>
      </c>
      <c r="C57" s="15">
        <v>3.39</v>
      </c>
      <c r="D57" t="s">
        <v>555</v>
      </c>
      <c r="E57" s="15">
        <f>3.39*(4/64)</f>
        <v>0.21187500000000001</v>
      </c>
      <c r="F57" s="14" t="s">
        <v>556</v>
      </c>
    </row>
    <row r="58" spans="1:15" x14ac:dyDescent="0.4">
      <c r="A58" s="1" t="s">
        <v>214</v>
      </c>
      <c r="C58" s="15">
        <f>SUM(C50:C57)</f>
        <v>19.919999999999998</v>
      </c>
      <c r="E58" s="15">
        <f>SUM(E50:E57)</f>
        <v>2.131199749527418</v>
      </c>
    </row>
    <row r="59" spans="1:15" x14ac:dyDescent="0.4">
      <c r="A59" s="13" t="s">
        <v>121</v>
      </c>
    </row>
    <row r="60" spans="1:15" x14ac:dyDescent="0.4">
      <c r="A60" s="11" t="s">
        <v>71</v>
      </c>
    </row>
    <row r="61" spans="1:15" x14ac:dyDescent="0.4">
      <c r="A61" s="29" t="s">
        <v>122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17">
        <v>2</v>
      </c>
    </row>
    <row r="62" spans="1:15" x14ac:dyDescent="0.4">
      <c r="A62" t="s">
        <v>123</v>
      </c>
      <c r="B62" t="s">
        <v>124</v>
      </c>
      <c r="C62" s="15">
        <v>3.49</v>
      </c>
      <c r="D62" t="s">
        <v>557</v>
      </c>
      <c r="E62" s="15">
        <f>3.49*(3/7)</f>
        <v>1.4957142857142858</v>
      </c>
      <c r="F62" s="14" t="s">
        <v>558</v>
      </c>
    </row>
    <row r="63" spans="1:15" x14ac:dyDescent="0.4">
      <c r="A63" t="s">
        <v>126</v>
      </c>
      <c r="B63" t="s">
        <v>127</v>
      </c>
      <c r="C63" s="15">
        <v>4.99</v>
      </c>
      <c r="D63" t="s">
        <v>559</v>
      </c>
      <c r="E63" s="15">
        <f>4.99*(2/4)</f>
        <v>2.4950000000000001</v>
      </c>
      <c r="F63" t="s">
        <v>69</v>
      </c>
    </row>
    <row r="64" spans="1:15" x14ac:dyDescent="0.4">
      <c r="A64" t="s">
        <v>134</v>
      </c>
      <c r="B64" t="s">
        <v>38</v>
      </c>
      <c r="C64" s="15">
        <v>1.99</v>
      </c>
      <c r="D64" t="s">
        <v>467</v>
      </c>
      <c r="E64" s="15">
        <f>1.99*(1/6)</f>
        <v>0.33166666666666667</v>
      </c>
      <c r="F64" s="14" t="s">
        <v>560</v>
      </c>
    </row>
    <row r="65" spans="1:15" x14ac:dyDescent="0.4">
      <c r="A65" s="3" t="s">
        <v>137</v>
      </c>
      <c r="B65" t="s">
        <v>138</v>
      </c>
      <c r="C65" s="15">
        <v>1.59</v>
      </c>
      <c r="D65" t="s">
        <v>561</v>
      </c>
      <c r="E65" s="15">
        <f>1.59*(2/40)</f>
        <v>7.9500000000000015E-2</v>
      </c>
      <c r="F65" s="14" t="s">
        <v>562</v>
      </c>
    </row>
    <row r="66" spans="1:15" x14ac:dyDescent="0.4">
      <c r="A66" t="s">
        <v>140</v>
      </c>
      <c r="B66" t="s">
        <v>22</v>
      </c>
      <c r="C66" s="15">
        <v>2.19</v>
      </c>
      <c r="D66" t="s">
        <v>433</v>
      </c>
      <c r="E66" s="15">
        <f>21.9*(2/32)</f>
        <v>1.3687499999999999</v>
      </c>
      <c r="F66" s="14" t="s">
        <v>563</v>
      </c>
    </row>
    <row r="67" spans="1:15" x14ac:dyDescent="0.4">
      <c r="A67" s="1" t="s">
        <v>214</v>
      </c>
      <c r="C67" s="15">
        <f>SUM(C61:C66)</f>
        <v>14.25</v>
      </c>
      <c r="E67" s="15">
        <f>SUM(E61:E66)</f>
        <v>5.7706309523809534</v>
      </c>
    </row>
    <row r="68" spans="1:15" x14ac:dyDescent="0.4">
      <c r="A68" s="13" t="s">
        <v>142</v>
      </c>
    </row>
    <row r="69" spans="1:15" x14ac:dyDescent="0.4">
      <c r="A69" s="11"/>
    </row>
    <row r="70" spans="1:15" x14ac:dyDescent="0.4">
      <c r="A70" s="29" t="s">
        <v>143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17">
        <v>4</v>
      </c>
    </row>
    <row r="71" spans="1:15" x14ac:dyDescent="0.4">
      <c r="A71" t="s">
        <v>144</v>
      </c>
      <c r="B71">
        <v>3</v>
      </c>
      <c r="C71" s="15">
        <v>4.99</v>
      </c>
      <c r="D71" t="s">
        <v>470</v>
      </c>
      <c r="E71" s="15">
        <v>4.99</v>
      </c>
      <c r="F71" s="14" t="s">
        <v>564</v>
      </c>
    </row>
    <row r="72" spans="1:15" x14ac:dyDescent="0.4">
      <c r="A72" t="s">
        <v>145</v>
      </c>
      <c r="B72">
        <v>1</v>
      </c>
      <c r="C72" s="15">
        <v>2.13</v>
      </c>
      <c r="D72">
        <v>1</v>
      </c>
      <c r="E72" s="15">
        <v>2.13</v>
      </c>
      <c r="F72" s="14" t="s">
        <v>565</v>
      </c>
    </row>
    <row r="73" spans="1:15" x14ac:dyDescent="0.4">
      <c r="A73" t="s">
        <v>146</v>
      </c>
      <c r="B73">
        <v>1</v>
      </c>
      <c r="C73" s="15">
        <v>1.69</v>
      </c>
      <c r="D73" t="s">
        <v>382</v>
      </c>
      <c r="E73" s="15">
        <f>1.69*(15/28)</f>
        <v>0.90535714285714275</v>
      </c>
      <c r="F73" s="14" t="s">
        <v>566</v>
      </c>
    </row>
    <row r="74" spans="1:15" x14ac:dyDescent="0.4">
      <c r="A74" t="s">
        <v>147</v>
      </c>
      <c r="B74" t="s">
        <v>148</v>
      </c>
      <c r="C74" s="15">
        <v>6.99</v>
      </c>
      <c r="D74" t="s">
        <v>414</v>
      </c>
      <c r="E74" s="15">
        <f>6.99*(1/33)</f>
        <v>0.21181818181818182</v>
      </c>
      <c r="F74" t="s">
        <v>69</v>
      </c>
    </row>
    <row r="75" spans="1:15" x14ac:dyDescent="0.4">
      <c r="A75" t="s">
        <v>73</v>
      </c>
      <c r="B75" t="s">
        <v>149</v>
      </c>
      <c r="C75" s="19">
        <v>6.89</v>
      </c>
      <c r="D75" s="20" t="s">
        <v>149</v>
      </c>
      <c r="E75" s="19">
        <v>6.89</v>
      </c>
      <c r="F75" t="s">
        <v>69</v>
      </c>
    </row>
    <row r="76" spans="1:15" x14ac:dyDescent="0.4">
      <c r="A76" t="s">
        <v>150</v>
      </c>
      <c r="B76" t="s">
        <v>101</v>
      </c>
      <c r="C76" s="15">
        <v>1.69</v>
      </c>
      <c r="D76" t="s">
        <v>474</v>
      </c>
      <c r="E76" s="15">
        <f>1.69*(1/2)</f>
        <v>0.84499999999999997</v>
      </c>
      <c r="F76" s="14" t="s">
        <v>567</v>
      </c>
    </row>
    <row r="77" spans="1:15" x14ac:dyDescent="0.4">
      <c r="A77" t="s">
        <v>151</v>
      </c>
      <c r="B77" t="s">
        <v>17</v>
      </c>
      <c r="C77" s="15">
        <v>0.99</v>
      </c>
      <c r="D77" t="s">
        <v>568</v>
      </c>
      <c r="E77" s="15">
        <f>0.99*(1/2.5)</f>
        <v>0.39600000000000002</v>
      </c>
      <c r="F77" s="14" t="s">
        <v>569</v>
      </c>
    </row>
    <row r="78" spans="1:15" x14ac:dyDescent="0.4">
      <c r="A78" t="s">
        <v>152</v>
      </c>
      <c r="B78" t="s">
        <v>68</v>
      </c>
      <c r="C78" s="15">
        <v>2.59</v>
      </c>
      <c r="D78" t="s">
        <v>416</v>
      </c>
      <c r="E78" s="15">
        <f>2.59*(1/71)</f>
        <v>3.6478873239436618E-2</v>
      </c>
      <c r="F78" s="14" t="s">
        <v>570</v>
      </c>
    </row>
    <row r="79" spans="1:15" x14ac:dyDescent="0.4">
      <c r="A79" t="s">
        <v>111</v>
      </c>
      <c r="B79" t="s">
        <v>68</v>
      </c>
      <c r="C79" s="15">
        <v>1.99</v>
      </c>
      <c r="D79" t="s">
        <v>416</v>
      </c>
      <c r="E79" s="15">
        <f>1.99*(1/71)</f>
        <v>2.8028169014084506E-2</v>
      </c>
      <c r="F79" t="s">
        <v>69</v>
      </c>
    </row>
    <row r="80" spans="1:15" x14ac:dyDescent="0.4">
      <c r="A80" t="s">
        <v>153</v>
      </c>
      <c r="B80" t="s">
        <v>148</v>
      </c>
      <c r="C80" s="15">
        <v>2.4900000000000002</v>
      </c>
      <c r="D80" t="s">
        <v>508</v>
      </c>
      <c r="E80" s="15">
        <f>2.49*(1/8)</f>
        <v>0.31125000000000003</v>
      </c>
      <c r="F80" t="s">
        <v>69</v>
      </c>
    </row>
    <row r="81" spans="1:15" x14ac:dyDescent="0.4">
      <c r="A81" t="s">
        <v>154</v>
      </c>
      <c r="B81" t="s">
        <v>68</v>
      </c>
      <c r="C81" s="15">
        <v>3.19</v>
      </c>
      <c r="D81" t="s">
        <v>416</v>
      </c>
      <c r="E81" s="15">
        <f>3.19*(1/71)</f>
        <v>4.4929577464788734E-2</v>
      </c>
      <c r="F81" s="14" t="s">
        <v>571</v>
      </c>
    </row>
    <row r="82" spans="1:15" x14ac:dyDescent="0.4">
      <c r="A82" t="s">
        <v>155</v>
      </c>
      <c r="B82" t="s">
        <v>68</v>
      </c>
      <c r="C82" s="15">
        <v>2.89</v>
      </c>
      <c r="D82" t="s">
        <v>416</v>
      </c>
      <c r="E82" s="15">
        <f>2.89*(1/71)</f>
        <v>4.0704225352112676E-2</v>
      </c>
      <c r="F82" s="14" t="s">
        <v>572</v>
      </c>
    </row>
    <row r="83" spans="1:15" x14ac:dyDescent="0.4">
      <c r="A83" s="1" t="s">
        <v>214</v>
      </c>
      <c r="C83" s="15">
        <f>SUM(C71:C82)</f>
        <v>38.519999999999996</v>
      </c>
      <c r="E83" s="15">
        <f>SUM(E71:E82)</f>
        <v>16.829566169745746</v>
      </c>
    </row>
    <row r="84" spans="1:15" x14ac:dyDescent="0.4">
      <c r="A84" s="11" t="s">
        <v>71</v>
      </c>
    </row>
    <row r="86" spans="1:15" x14ac:dyDescent="0.4">
      <c r="A86" s="29" t="s">
        <v>194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17">
        <v>4</v>
      </c>
    </row>
    <row r="87" spans="1:15" x14ac:dyDescent="0.4">
      <c r="A87" t="s">
        <v>73</v>
      </c>
      <c r="B87" t="s">
        <v>149</v>
      </c>
      <c r="C87" s="19">
        <v>6.89</v>
      </c>
      <c r="D87" s="20" t="s">
        <v>149</v>
      </c>
      <c r="E87" s="19">
        <v>6.89</v>
      </c>
      <c r="F87" t="s">
        <v>69</v>
      </c>
    </row>
    <row r="88" spans="1:15" x14ac:dyDescent="0.4">
      <c r="A88" t="s">
        <v>145</v>
      </c>
      <c r="B88" s="9">
        <v>0.5</v>
      </c>
      <c r="C88" s="15">
        <v>2.13</v>
      </c>
      <c r="D88">
        <v>1</v>
      </c>
      <c r="E88" s="15">
        <f>2.13/2</f>
        <v>1.0649999999999999</v>
      </c>
      <c r="F88" t="s">
        <v>69</v>
      </c>
    </row>
    <row r="89" spans="1:15" x14ac:dyDescent="0.4">
      <c r="A89" t="s">
        <v>157</v>
      </c>
      <c r="B89" s="8" t="s">
        <v>17</v>
      </c>
      <c r="C89" s="15">
        <v>1.99</v>
      </c>
      <c r="D89" t="s">
        <v>474</v>
      </c>
      <c r="E89" s="15">
        <f>1.99*(1/4)</f>
        <v>0.4975</v>
      </c>
      <c r="F89" s="14" t="s">
        <v>573</v>
      </c>
    </row>
    <row r="90" spans="1:15" x14ac:dyDescent="0.4">
      <c r="A90" t="s">
        <v>158</v>
      </c>
      <c r="B90">
        <v>1</v>
      </c>
      <c r="C90" s="15">
        <v>1.99</v>
      </c>
      <c r="D90" t="s">
        <v>553</v>
      </c>
      <c r="E90" s="15">
        <f>1.99*(1/12)</f>
        <v>0.16583333333333333</v>
      </c>
      <c r="F90" t="s">
        <v>69</v>
      </c>
    </row>
    <row r="91" spans="1:15" x14ac:dyDescent="0.4">
      <c r="A91" t="s">
        <v>232</v>
      </c>
      <c r="B91" t="s">
        <v>38</v>
      </c>
      <c r="C91" s="15">
        <v>1.62</v>
      </c>
      <c r="D91" t="s">
        <v>574</v>
      </c>
      <c r="E91" s="15">
        <f>1.62*(1/16)</f>
        <v>0.10125000000000001</v>
      </c>
      <c r="F91" t="s">
        <v>69</v>
      </c>
    </row>
    <row r="92" spans="1:15" x14ac:dyDescent="0.4">
      <c r="A92" t="s">
        <v>26</v>
      </c>
      <c r="B92" t="s">
        <v>68</v>
      </c>
      <c r="C92" s="15">
        <v>1.99</v>
      </c>
      <c r="D92" t="s">
        <v>416</v>
      </c>
      <c r="E92" s="15">
        <f>1.99*(2/71)</f>
        <v>5.6056338028169013E-2</v>
      </c>
      <c r="F92" t="s">
        <v>69</v>
      </c>
    </row>
    <row r="93" spans="1:15" x14ac:dyDescent="0.4">
      <c r="A93" t="s">
        <v>147</v>
      </c>
      <c r="B93" t="s">
        <v>148</v>
      </c>
      <c r="C93" s="15">
        <v>6.99</v>
      </c>
      <c r="D93" t="s">
        <v>414</v>
      </c>
      <c r="E93" s="15">
        <f>6.99*(1/33)</f>
        <v>0.21181818181818182</v>
      </c>
      <c r="F93" t="s">
        <v>69</v>
      </c>
    </row>
    <row r="94" spans="1:15" x14ac:dyDescent="0.4">
      <c r="A94" s="1" t="s">
        <v>214</v>
      </c>
      <c r="C94" s="15">
        <f>SUM(C87:C93)</f>
        <v>23.6</v>
      </c>
      <c r="E94" s="15">
        <f>SUM(E87:E93)</f>
        <v>8.9874578531796843</v>
      </c>
    </row>
    <row r="95" spans="1:15" x14ac:dyDescent="0.4">
      <c r="A95" s="11" t="s">
        <v>71</v>
      </c>
    </row>
    <row r="97" spans="1:15" x14ac:dyDescent="0.4">
      <c r="A97" s="29" t="s">
        <v>159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17">
        <v>4</v>
      </c>
    </row>
    <row r="98" spans="1:15" x14ac:dyDescent="0.4">
      <c r="A98" t="s">
        <v>73</v>
      </c>
      <c r="B98" t="s">
        <v>160</v>
      </c>
      <c r="C98" s="19">
        <v>6.89</v>
      </c>
      <c r="D98" s="20" t="s">
        <v>149</v>
      </c>
      <c r="E98" s="19">
        <f>6.89/2</f>
        <v>3.4449999999999998</v>
      </c>
      <c r="F98" t="s">
        <v>69</v>
      </c>
    </row>
    <row r="99" spans="1:15" x14ac:dyDescent="0.4">
      <c r="A99" t="s">
        <v>161</v>
      </c>
      <c r="B99" t="s">
        <v>17</v>
      </c>
      <c r="C99" s="15">
        <v>0.99</v>
      </c>
      <c r="D99" t="s">
        <v>568</v>
      </c>
      <c r="E99" s="15">
        <f>0.99*(1/2.5)</f>
        <v>0.39600000000000002</v>
      </c>
      <c r="F99" t="s">
        <v>69</v>
      </c>
    </row>
    <row r="100" spans="1:15" x14ac:dyDescent="0.4">
      <c r="A100" t="s">
        <v>162</v>
      </c>
      <c r="B100">
        <v>2</v>
      </c>
      <c r="C100" s="15">
        <v>1.5</v>
      </c>
      <c r="D100">
        <v>1</v>
      </c>
      <c r="E100" s="15">
        <v>3</v>
      </c>
      <c r="F100" s="14" t="s">
        <v>575</v>
      </c>
    </row>
    <row r="101" spans="1:15" x14ac:dyDescent="0.4">
      <c r="A101" t="s">
        <v>163</v>
      </c>
      <c r="B101" t="s">
        <v>17</v>
      </c>
      <c r="C101" s="15">
        <v>1.99</v>
      </c>
      <c r="D101" t="s">
        <v>474</v>
      </c>
      <c r="E101" s="15">
        <f>1.99*(1/4)</f>
        <v>0.4975</v>
      </c>
      <c r="F101" s="14" t="s">
        <v>576</v>
      </c>
    </row>
    <row r="102" spans="1:15" x14ac:dyDescent="0.4">
      <c r="A102" t="s">
        <v>158</v>
      </c>
      <c r="B102">
        <v>2</v>
      </c>
      <c r="C102" s="15">
        <v>1.99</v>
      </c>
      <c r="D102" t="s">
        <v>553</v>
      </c>
      <c r="E102" s="15">
        <f>1.99*(2/12)</f>
        <v>0.33166666666666667</v>
      </c>
      <c r="F102" t="s">
        <v>69</v>
      </c>
    </row>
    <row r="103" spans="1:15" x14ac:dyDescent="0.4">
      <c r="A103" t="s">
        <v>164</v>
      </c>
      <c r="B103">
        <v>4</v>
      </c>
      <c r="C103" s="15">
        <v>2.99</v>
      </c>
      <c r="D103" t="s">
        <v>521</v>
      </c>
      <c r="E103" s="15">
        <f>2.99/2</f>
        <v>1.4950000000000001</v>
      </c>
      <c r="F103" t="s">
        <v>69</v>
      </c>
    </row>
    <row r="104" spans="1:15" x14ac:dyDescent="0.4">
      <c r="A104" t="s">
        <v>147</v>
      </c>
      <c r="B104" t="s">
        <v>22</v>
      </c>
      <c r="C104" s="15">
        <v>6.99</v>
      </c>
      <c r="D104" t="s">
        <v>414</v>
      </c>
      <c r="E104" s="15">
        <f>6.99*(2/33)</f>
        <v>0.42363636363636364</v>
      </c>
      <c r="F104" t="s">
        <v>69</v>
      </c>
    </row>
    <row r="105" spans="1:15" x14ac:dyDescent="0.4">
      <c r="A105" s="1" t="s">
        <v>214</v>
      </c>
      <c r="C105" s="15">
        <f>SUM(C98:C104)</f>
        <v>23.340000000000003</v>
      </c>
      <c r="E105" s="15">
        <f>SUM(E98:E104)</f>
        <v>9.5888030303030298</v>
      </c>
    </row>
    <row r="106" spans="1:15" x14ac:dyDescent="0.4">
      <c r="A106" s="11" t="s">
        <v>71</v>
      </c>
    </row>
    <row r="108" spans="1:15" x14ac:dyDescent="0.4">
      <c r="A108" s="29" t="s">
        <v>165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17">
        <v>1</v>
      </c>
    </row>
    <row r="109" spans="1:15" x14ac:dyDescent="0.4">
      <c r="A109" t="s">
        <v>166</v>
      </c>
      <c r="B109" t="s">
        <v>167</v>
      </c>
      <c r="C109" s="15">
        <v>4.99</v>
      </c>
      <c r="D109" t="s">
        <v>577</v>
      </c>
      <c r="E109" s="15">
        <f>4.99*(2/7)</f>
        <v>1.4257142857142857</v>
      </c>
      <c r="F109" s="14" t="s">
        <v>578</v>
      </c>
    </row>
    <row r="110" spans="1:15" x14ac:dyDescent="0.4">
      <c r="A110" t="s">
        <v>168</v>
      </c>
      <c r="B110" t="s">
        <v>169</v>
      </c>
      <c r="C110" s="15">
        <v>1.99</v>
      </c>
      <c r="D110" t="s">
        <v>579</v>
      </c>
      <c r="E110" s="15">
        <f>1.99*(2/10)</f>
        <v>0.39800000000000002</v>
      </c>
      <c r="F110" s="14" t="s">
        <v>580</v>
      </c>
    </row>
    <row r="111" spans="1:15" x14ac:dyDescent="0.4">
      <c r="A111" t="s">
        <v>170</v>
      </c>
      <c r="B111" t="s">
        <v>68</v>
      </c>
      <c r="C111" s="15">
        <v>4.29</v>
      </c>
      <c r="D111" t="s">
        <v>581</v>
      </c>
      <c r="E111" s="15">
        <f>4.29*(1/59)</f>
        <v>7.2711864406779667E-2</v>
      </c>
      <c r="F111" s="14" t="s">
        <v>582</v>
      </c>
    </row>
    <row r="112" spans="1:15" x14ac:dyDescent="0.4">
      <c r="A112" t="s">
        <v>171</v>
      </c>
      <c r="B112" t="s">
        <v>172</v>
      </c>
      <c r="C112" s="15">
        <v>1.59</v>
      </c>
      <c r="D112" t="s">
        <v>495</v>
      </c>
      <c r="E112" s="15">
        <f>1.59*(1/68)</f>
        <v>2.3382352941176472E-2</v>
      </c>
      <c r="F112" s="14" t="s">
        <v>583</v>
      </c>
    </row>
    <row r="113" spans="1:6" x14ac:dyDescent="0.4">
      <c r="A113" t="s">
        <v>162</v>
      </c>
      <c r="B113" s="8" t="s">
        <v>173</v>
      </c>
      <c r="C113" s="15">
        <v>1.5</v>
      </c>
      <c r="D113">
        <v>1</v>
      </c>
      <c r="E113" s="15">
        <f>1.5/2</f>
        <v>0.75</v>
      </c>
      <c r="F113" t="s">
        <v>69</v>
      </c>
    </row>
    <row r="114" spans="1:6" x14ac:dyDescent="0.4">
      <c r="A114" t="s">
        <v>174</v>
      </c>
      <c r="B114" t="s">
        <v>175</v>
      </c>
      <c r="C114" s="15">
        <v>3.49</v>
      </c>
      <c r="D114" t="s">
        <v>557</v>
      </c>
      <c r="E114" s="15">
        <f>3.49*(1/7)</f>
        <v>0.49857142857142855</v>
      </c>
      <c r="F114" t="s">
        <v>69</v>
      </c>
    </row>
    <row r="115" spans="1:6" x14ac:dyDescent="0.4">
      <c r="A115" t="s">
        <v>176</v>
      </c>
      <c r="B115" t="s">
        <v>167</v>
      </c>
      <c r="C115" s="15">
        <v>1.4</v>
      </c>
      <c r="D115">
        <v>1</v>
      </c>
      <c r="E115" s="15">
        <f>1.4*(1/3)</f>
        <v>0.46666666666666662</v>
      </c>
      <c r="F115" s="14" t="s">
        <v>584</v>
      </c>
    </row>
    <row r="116" spans="1:6" x14ac:dyDescent="0.4">
      <c r="A116" t="s">
        <v>177</v>
      </c>
      <c r="B116" t="s">
        <v>173</v>
      </c>
      <c r="C116" s="15">
        <v>0.69</v>
      </c>
      <c r="D116">
        <v>1</v>
      </c>
      <c r="E116" s="15">
        <f>0.69/2</f>
        <v>0.34499999999999997</v>
      </c>
      <c r="F116" s="14" t="s">
        <v>585</v>
      </c>
    </row>
    <row r="117" spans="1:6" x14ac:dyDescent="0.4">
      <c r="A117" t="s">
        <v>178</v>
      </c>
      <c r="B117" t="s">
        <v>179</v>
      </c>
      <c r="C117" s="15">
        <v>1.6</v>
      </c>
      <c r="D117">
        <v>1</v>
      </c>
      <c r="E117" s="15">
        <f>1.6/4</f>
        <v>0.4</v>
      </c>
      <c r="F117" s="14" t="s">
        <v>586</v>
      </c>
    </row>
    <row r="118" spans="1:6" x14ac:dyDescent="0.4">
      <c r="A118" t="s">
        <v>180</v>
      </c>
      <c r="B118" t="s">
        <v>38</v>
      </c>
      <c r="C118" s="15">
        <v>3.49</v>
      </c>
      <c r="D118" t="s">
        <v>587</v>
      </c>
      <c r="E118" s="15">
        <f>3.49*(0.25/3.5)</f>
        <v>0.24928571428571428</v>
      </c>
      <c r="F118" s="14" t="s">
        <v>588</v>
      </c>
    </row>
    <row r="119" spans="1:6" x14ac:dyDescent="0.4">
      <c r="A119" t="s">
        <v>26</v>
      </c>
      <c r="B119" t="s">
        <v>182</v>
      </c>
      <c r="C119" s="15">
        <v>1.99</v>
      </c>
      <c r="D119" t="s">
        <v>416</v>
      </c>
      <c r="E119" s="15">
        <f>1.99*(2/71)</f>
        <v>5.6056338028169013E-2</v>
      </c>
      <c r="F119" t="s">
        <v>69</v>
      </c>
    </row>
    <row r="120" spans="1:6" x14ac:dyDescent="0.4">
      <c r="A120" s="1" t="s">
        <v>214</v>
      </c>
      <c r="C120" s="15">
        <f>SUM(C109:C119)</f>
        <v>27.02</v>
      </c>
      <c r="E120" s="15">
        <f>SUM(E109:E119)</f>
        <v>4.6853886506142217</v>
      </c>
    </row>
    <row r="121" spans="1:6" x14ac:dyDescent="0.4">
      <c r="A121" s="11" t="s">
        <v>71</v>
      </c>
    </row>
  </sheetData>
  <mergeCells count="10">
    <mergeCell ref="A70:N70"/>
    <mergeCell ref="A86:N86"/>
    <mergeCell ref="A97:N97"/>
    <mergeCell ref="A108:N108"/>
    <mergeCell ref="A3:N3"/>
    <mergeCell ref="A14:N14"/>
    <mergeCell ref="A24:N24"/>
    <mergeCell ref="A35:N35"/>
    <mergeCell ref="A49:N49"/>
    <mergeCell ref="A61:N61"/>
  </mergeCells>
  <hyperlinks>
    <hyperlink ref="F4" r:id="rId1" xr:uid="{756A47C3-7CC0-437E-8957-4808CA1DD954}"/>
    <hyperlink ref="F5" r:id="rId2" xr:uid="{5EC66AA9-9E32-4388-B486-C0A536669B1B}"/>
    <hyperlink ref="F15" r:id="rId3" xr:uid="{08FF5B21-1D01-4F96-8663-2141B1B64830}"/>
    <hyperlink ref="F7" r:id="rId4" xr:uid="{5CDB7B01-119C-4F4D-8ECA-D254A1D92AF8}"/>
    <hyperlink ref="F9" r:id="rId5" xr:uid="{76A06E33-02FB-46CE-8FA8-8E0B6CAC9B99}"/>
    <hyperlink ref="F10" r:id="rId6" xr:uid="{ADAD01E6-44F2-41CB-A4BD-25430724B19F}"/>
    <hyperlink ref="F6" r:id="rId7" xr:uid="{67DFE6C0-D462-4217-BF97-A097A5AF78EE}"/>
    <hyperlink ref="F16" r:id="rId8" xr:uid="{22F62309-94D1-46FE-883A-91BC76D7D233}"/>
    <hyperlink ref="F17" r:id="rId9" xr:uid="{222938FD-E703-49F7-B982-456FB6C5B502}"/>
    <hyperlink ref="F18" r:id="rId10" xr:uid="{F7DC3EFF-7F66-45B4-A575-A517AAF6AC3E}"/>
    <hyperlink ref="F19" r:id="rId11" xr:uid="{AD874ADD-F566-4004-921D-E66FBB90E26E}"/>
    <hyperlink ref="F20" r:id="rId12" xr:uid="{0030A4E1-08CC-495B-ACE2-D3F39AEA932F}"/>
    <hyperlink ref="F26" r:id="rId13" xr:uid="{B9F8EB23-85AD-4486-AE54-7F171D77C282}"/>
    <hyperlink ref="F27" r:id="rId14" xr:uid="{1C5BB90E-9F47-4FE9-B21A-CF764EC6C5E7}"/>
    <hyperlink ref="F28" r:id="rId15" xr:uid="{216CA59D-DCA8-4A80-9F56-7BB5A0EEAF40}"/>
    <hyperlink ref="F29" r:id="rId16" xr:uid="{187C6A43-D42C-4D84-8FFA-6FED0EE4D791}"/>
    <hyperlink ref="F8" r:id="rId17" xr:uid="{49F6D1F8-843D-461F-B736-3CC8CD0B8A8D}"/>
    <hyperlink ref="F36" r:id="rId18" xr:uid="{CE2BE6D6-E0FE-449D-82E6-28EF5D80E9D5}"/>
    <hyperlink ref="F38" r:id="rId19" xr:uid="{FF2B246F-25CF-47A7-A1C8-C63DADD8FAC6}"/>
    <hyperlink ref="F39" r:id="rId20" xr:uid="{6FCD721A-05A6-47B7-B1AE-E6E607B83103}"/>
    <hyperlink ref="F40" r:id="rId21" xr:uid="{A2DEB376-6488-4145-9EE9-129EA4AF22E9}"/>
    <hyperlink ref="F41" r:id="rId22" xr:uid="{B38EC1C4-8140-408E-B369-BDA1FB8BD0AD}"/>
    <hyperlink ref="F43" r:id="rId23" xr:uid="{C02D7E93-7773-4DC9-9EC5-0990F99E0AED}"/>
    <hyperlink ref="F44" r:id="rId24" xr:uid="{B91843B2-7EC6-428A-A330-26A0EC8B5DE4}"/>
    <hyperlink ref="F45" r:id="rId25" xr:uid="{110C6F46-55D4-40C7-99EF-B459739514BF}"/>
    <hyperlink ref="F50" r:id="rId26" xr:uid="{0E8CCD43-C70C-44A4-A023-9106F09A4C61}"/>
    <hyperlink ref="F51" r:id="rId27" xr:uid="{999EC9C9-9337-4A57-A7DA-08C1F6D1A37B}"/>
    <hyperlink ref="F52" r:id="rId28" xr:uid="{9A894240-0DDF-4BFD-90E1-1D118E456671}"/>
    <hyperlink ref="F55" r:id="rId29" xr:uid="{5D4BD822-BEE0-4EAE-ABCF-6D3AE2559050}"/>
    <hyperlink ref="F53" r:id="rId30" xr:uid="{8A1828BE-79B1-41B9-B1C5-FCFEBFCCF298}"/>
    <hyperlink ref="F56" r:id="rId31" xr:uid="{319C64FE-C2CE-4E0D-ABA2-E5C31F573347}"/>
    <hyperlink ref="F57" r:id="rId32" xr:uid="{CC67F39F-6ED3-4B21-88CB-B1716D70E094}"/>
    <hyperlink ref="F62" r:id="rId33" xr:uid="{D594EC2F-9C4F-4E6B-9BE0-09FA6D1D4DBF}"/>
    <hyperlink ref="F64" r:id="rId34" xr:uid="{9307CA56-3C70-4198-A256-78639B137F86}"/>
    <hyperlink ref="F65" r:id="rId35" xr:uid="{5DC216A9-E90C-4777-9156-5A0F368D9285}"/>
    <hyperlink ref="F66" r:id="rId36" xr:uid="{86CF6A11-5DFF-40E5-BB9E-174E20057782}"/>
    <hyperlink ref="F71" r:id="rId37" xr:uid="{8C1526FF-A936-4FC1-971E-089406737024}"/>
    <hyperlink ref="F72" r:id="rId38" xr:uid="{7ABF377E-21BB-42A1-864E-D51C14B13007}"/>
    <hyperlink ref="F73" r:id="rId39" xr:uid="{FE64DD69-7ED9-45FF-A303-14D8F8B0D64C}"/>
    <hyperlink ref="F76" r:id="rId40" xr:uid="{400DFD3F-26C9-4A07-BB7B-B4275164ABD1}"/>
    <hyperlink ref="F77" r:id="rId41" xr:uid="{D6A02E8F-3CF9-42B8-AE81-A37F2485A213}"/>
    <hyperlink ref="F78" r:id="rId42" xr:uid="{0C78276E-0CC2-4332-A67A-E37CBBD0D634}"/>
    <hyperlink ref="F81" r:id="rId43" xr:uid="{EFBC2836-9D01-43D8-9CA2-C2BAE4CF40E4}"/>
    <hyperlink ref="F82" r:id="rId44" xr:uid="{F76792D0-A452-4487-BC96-3EAE7F9ED4B2}"/>
    <hyperlink ref="F25" r:id="rId45" xr:uid="{AFCE8B0F-A1D2-4F36-827E-6D6E84E941D1}"/>
    <hyperlink ref="F37" r:id="rId46" xr:uid="{5A2673DB-A58C-45D4-A49C-B60C0477E4F2}"/>
    <hyperlink ref="F89" r:id="rId47" xr:uid="{E0887B91-C014-4ACF-B332-DBABE11DD97E}"/>
    <hyperlink ref="F100" r:id="rId48" xr:uid="{3C45F5EE-8569-42DD-83A9-D7D1C2CF546E}"/>
    <hyperlink ref="F101" r:id="rId49" xr:uid="{8482E7CB-E2AD-41BA-A545-DC5B222678A2}"/>
    <hyperlink ref="F110" r:id="rId50" xr:uid="{42C41739-EA9E-4524-A6F1-1891C030D062}"/>
    <hyperlink ref="F109" r:id="rId51" xr:uid="{AE1295F5-AF27-4950-BFD4-16B51DF102A6}"/>
    <hyperlink ref="F111" r:id="rId52" xr:uid="{7436D227-5E8A-4357-81D6-FE4EEE2C9D6C}"/>
    <hyperlink ref="F112" r:id="rId53" xr:uid="{9A2BADCA-10AE-42F2-8BA3-38DB0A8BD850}"/>
    <hyperlink ref="F115" r:id="rId54" xr:uid="{DE5F0E63-89DC-454A-984F-B87516B76128}"/>
    <hyperlink ref="F116" r:id="rId55" xr:uid="{1F0DBD76-B62E-46F6-BC10-91F07E058B06}"/>
    <hyperlink ref="F117" r:id="rId56" xr:uid="{B085CA88-D638-4B33-9CDD-260DFC1F5C4C}"/>
    <hyperlink ref="F118" r:id="rId57" xr:uid="{F1EF334B-CB52-470C-99A7-4FE280CE2FD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E5FC-DCF5-4597-84E9-BEA9B6E0187D}">
  <dimension ref="A1:Q122"/>
  <sheetViews>
    <sheetView topLeftCell="A92" workbookViewId="0">
      <selection activeCell="D129" sqref="D129"/>
    </sheetView>
  </sheetViews>
  <sheetFormatPr defaultRowHeight="14.6" x14ac:dyDescent="0.4"/>
  <cols>
    <col min="1" max="1" width="18.69140625" customWidth="1"/>
    <col min="2" max="2" width="15.84375" customWidth="1"/>
    <col min="4" max="4" width="14.69140625" customWidth="1"/>
    <col min="5" max="5" width="12" customWidth="1"/>
  </cols>
  <sheetData>
    <row r="1" spans="1:17" x14ac:dyDescent="0.4">
      <c r="A1" s="6" t="s">
        <v>0</v>
      </c>
      <c r="B1" s="7" t="s">
        <v>195</v>
      </c>
      <c r="C1" s="16" t="s">
        <v>196</v>
      </c>
      <c r="D1" s="6" t="s">
        <v>197</v>
      </c>
      <c r="E1" s="16" t="s">
        <v>198</v>
      </c>
      <c r="F1" s="6" t="s">
        <v>8</v>
      </c>
      <c r="G1" s="6"/>
      <c r="H1" s="6"/>
      <c r="I1" s="6"/>
      <c r="J1" s="6"/>
      <c r="K1" s="6"/>
      <c r="L1" s="6"/>
      <c r="M1" s="6"/>
      <c r="N1" s="6"/>
      <c r="O1" s="6"/>
      <c r="P1" s="1"/>
      <c r="Q1" s="1"/>
    </row>
    <row r="2" spans="1:17" x14ac:dyDescent="0.4">
      <c r="A2" s="1"/>
      <c r="C2" s="15"/>
      <c r="E2" s="15"/>
    </row>
    <row r="3" spans="1:17" x14ac:dyDescent="0.4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7">
        <v>6</v>
      </c>
    </row>
    <row r="4" spans="1:17" x14ac:dyDescent="0.4">
      <c r="A4" t="s">
        <v>11</v>
      </c>
      <c r="B4" t="s">
        <v>12</v>
      </c>
      <c r="C4" s="15">
        <v>4.76</v>
      </c>
      <c r="D4" t="s">
        <v>589</v>
      </c>
      <c r="E4" s="15">
        <f>(4.76) *(0.5)</f>
        <v>2.38</v>
      </c>
      <c r="F4" s="14" t="s">
        <v>590</v>
      </c>
    </row>
    <row r="5" spans="1:17" x14ac:dyDescent="0.4">
      <c r="A5" t="s">
        <v>15</v>
      </c>
      <c r="B5" t="s">
        <v>16</v>
      </c>
      <c r="C5" s="15">
        <v>6.65</v>
      </c>
      <c r="D5" t="s">
        <v>591</v>
      </c>
      <c r="E5" s="15">
        <f>6.65*(10/24)</f>
        <v>2.7708333333333335</v>
      </c>
      <c r="F5" s="14" t="s">
        <v>592</v>
      </c>
    </row>
    <row r="6" spans="1:17" x14ac:dyDescent="0.4">
      <c r="A6" t="s">
        <v>203</v>
      </c>
      <c r="B6" t="s">
        <v>204</v>
      </c>
      <c r="C6" s="15">
        <v>9.76</v>
      </c>
      <c r="D6" t="s">
        <v>593</v>
      </c>
      <c r="E6" s="15">
        <f xml:space="preserve"> 9.76*(1/4)</f>
        <v>2.44</v>
      </c>
      <c r="F6" s="14" t="s">
        <v>594</v>
      </c>
    </row>
    <row r="7" spans="1:17" x14ac:dyDescent="0.4">
      <c r="A7" t="s">
        <v>21</v>
      </c>
      <c r="B7" t="s">
        <v>22</v>
      </c>
      <c r="C7" s="15">
        <v>12.98</v>
      </c>
      <c r="D7" t="s">
        <v>595</v>
      </c>
      <c r="E7" s="15">
        <f xml:space="preserve"> 12.98*(2/135.2)</f>
        <v>0.19201183431952665</v>
      </c>
      <c r="F7" s="14" t="s">
        <v>596</v>
      </c>
    </row>
    <row r="8" spans="1:17" x14ac:dyDescent="0.4">
      <c r="A8" t="s">
        <v>26</v>
      </c>
      <c r="B8" t="s">
        <v>27</v>
      </c>
      <c r="C8" s="15">
        <v>11.16</v>
      </c>
      <c r="D8" t="s">
        <v>597</v>
      </c>
      <c r="E8" s="15">
        <f xml:space="preserve"> 11.16*(4/576)</f>
        <v>7.7499999999999999E-2</v>
      </c>
      <c r="F8" s="14" t="s">
        <v>598</v>
      </c>
    </row>
    <row r="9" spans="1:17" x14ac:dyDescent="0.4">
      <c r="A9" t="s">
        <v>30</v>
      </c>
      <c r="B9" t="s">
        <v>22</v>
      </c>
      <c r="C9" s="15">
        <v>5.68</v>
      </c>
      <c r="D9" t="s">
        <v>599</v>
      </c>
      <c r="E9" s="15">
        <f>5.68*(2/96)</f>
        <v>0.11833333333333332</v>
      </c>
      <c r="F9" s="14" t="s">
        <v>600</v>
      </c>
    </row>
    <row r="10" spans="1:17" x14ac:dyDescent="0.4">
      <c r="A10" t="s">
        <v>32</v>
      </c>
      <c r="B10" t="s">
        <v>33</v>
      </c>
      <c r="C10" s="15">
        <v>8.52</v>
      </c>
      <c r="D10" t="s">
        <v>601</v>
      </c>
      <c r="E10" s="15">
        <f>8.52 *(8/96)</f>
        <v>0.71</v>
      </c>
      <c r="F10" s="14" t="s">
        <v>602</v>
      </c>
    </row>
    <row r="11" spans="1:17" x14ac:dyDescent="0.4">
      <c r="A11" s="1" t="s">
        <v>214</v>
      </c>
      <c r="C11" s="15">
        <f>SUM(C4:C10)</f>
        <v>59.510000000000005</v>
      </c>
      <c r="E11" s="15">
        <f>SUM(E4:E10)</f>
        <v>8.6886785009861924</v>
      </c>
    </row>
    <row r="12" spans="1:17" x14ac:dyDescent="0.4">
      <c r="A12" s="11" t="s">
        <v>35</v>
      </c>
      <c r="C12" s="15"/>
      <c r="E12" s="15"/>
    </row>
    <row r="13" spans="1:17" x14ac:dyDescent="0.4">
      <c r="A13" s="11"/>
      <c r="C13" s="15"/>
      <c r="E13" s="15"/>
    </row>
    <row r="14" spans="1:17" x14ac:dyDescent="0.4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17">
        <v>1</v>
      </c>
    </row>
    <row r="15" spans="1:17" x14ac:dyDescent="0.4">
      <c r="A15" t="s">
        <v>37</v>
      </c>
      <c r="B15" t="s">
        <v>38</v>
      </c>
      <c r="C15" s="15">
        <v>7.98</v>
      </c>
      <c r="D15" t="s">
        <v>603</v>
      </c>
      <c r="E15" s="15">
        <f>7.98*(0.25/20)</f>
        <v>9.9750000000000005E-2</v>
      </c>
      <c r="F15" s="14" t="s">
        <v>604</v>
      </c>
    </row>
    <row r="16" spans="1:17" x14ac:dyDescent="0.4">
      <c r="A16" t="s">
        <v>41</v>
      </c>
      <c r="B16" t="s">
        <v>38</v>
      </c>
      <c r="C16" s="15">
        <v>4.97</v>
      </c>
      <c r="D16" t="s">
        <v>599</v>
      </c>
      <c r="E16" s="15">
        <f>4.97*(0.25/6)</f>
        <v>0.20708333333333331</v>
      </c>
      <c r="F16" s="14" t="s">
        <v>605</v>
      </c>
    </row>
    <row r="17" spans="1:15" x14ac:dyDescent="0.4">
      <c r="A17" t="s">
        <v>43</v>
      </c>
      <c r="B17" t="s">
        <v>44</v>
      </c>
      <c r="C17" s="15">
        <v>3.94</v>
      </c>
      <c r="D17" t="s">
        <v>606</v>
      </c>
      <c r="E17" s="15">
        <f>3.94*((1/3)/7.375)</f>
        <v>0.17807909604519773</v>
      </c>
      <c r="F17" s="14" t="s">
        <v>607</v>
      </c>
    </row>
    <row r="18" spans="1:15" x14ac:dyDescent="0.4">
      <c r="A18" t="s">
        <v>46</v>
      </c>
      <c r="B18" t="s">
        <v>47</v>
      </c>
      <c r="C18" s="15" t="s">
        <v>608</v>
      </c>
      <c r="D18" t="s">
        <v>608</v>
      </c>
      <c r="E18" s="15" t="s">
        <v>608</v>
      </c>
      <c r="F18" s="14" t="s">
        <v>608</v>
      </c>
    </row>
    <row r="19" spans="1:15" x14ac:dyDescent="0.4">
      <c r="A19" t="s">
        <v>222</v>
      </c>
      <c r="B19" t="s">
        <v>38</v>
      </c>
      <c r="C19" s="15">
        <v>6.97</v>
      </c>
      <c r="D19" t="s">
        <v>609</v>
      </c>
      <c r="E19" s="15">
        <f>6.97*(0.25/6)</f>
        <v>0.29041666666666666</v>
      </c>
      <c r="F19" s="14" t="s">
        <v>610</v>
      </c>
    </row>
    <row r="20" spans="1:15" x14ac:dyDescent="0.4">
      <c r="A20" t="s">
        <v>50</v>
      </c>
      <c r="B20" t="s">
        <v>47</v>
      </c>
      <c r="C20" s="15">
        <v>7.98</v>
      </c>
      <c r="D20" t="s">
        <v>599</v>
      </c>
      <c r="E20" s="15">
        <f>7.98*(2/288)</f>
        <v>5.541666666666667E-2</v>
      </c>
      <c r="F20" s="14" t="s">
        <v>611</v>
      </c>
    </row>
    <row r="21" spans="1:15" x14ac:dyDescent="0.4">
      <c r="A21" s="1" t="s">
        <v>214</v>
      </c>
      <c r="C21" s="15">
        <f>SUM(C15:C20)</f>
        <v>31.84</v>
      </c>
      <c r="E21" s="15">
        <f>SUM(E15:E20)</f>
        <v>0.8307457627118644</v>
      </c>
    </row>
    <row r="22" spans="1:15" x14ac:dyDescent="0.4">
      <c r="A22" s="12" t="s">
        <v>52</v>
      </c>
      <c r="C22" s="15"/>
      <c r="E22" s="15"/>
    </row>
    <row r="23" spans="1:15" x14ac:dyDescent="0.4">
      <c r="A23" s="10"/>
      <c r="C23" s="15"/>
      <c r="E23" s="15"/>
    </row>
    <row r="24" spans="1:15" x14ac:dyDescent="0.4">
      <c r="A24" s="29" t="s">
        <v>53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17">
        <v>4</v>
      </c>
    </row>
    <row r="25" spans="1:15" x14ac:dyDescent="0.4">
      <c r="A25" t="s">
        <v>54</v>
      </c>
      <c r="B25">
        <v>8</v>
      </c>
      <c r="C25" s="15">
        <v>3.67</v>
      </c>
      <c r="D25">
        <v>24</v>
      </c>
      <c r="E25" s="15">
        <f>3.67*(1/3)</f>
        <v>1.2233333333333332</v>
      </c>
      <c r="F25" s="14" t="s">
        <v>612</v>
      </c>
    </row>
    <row r="26" spans="1:15" x14ac:dyDescent="0.4">
      <c r="A26" t="s">
        <v>56</v>
      </c>
      <c r="B26" t="s">
        <v>57</v>
      </c>
      <c r="C26" s="15">
        <v>8.44</v>
      </c>
      <c r="D26" t="s">
        <v>613</v>
      </c>
      <c r="E26" s="15">
        <f>8.44*(1/128)</f>
        <v>6.5937499999999996E-2</v>
      </c>
      <c r="F26" s="14" t="s">
        <v>614</v>
      </c>
    </row>
    <row r="27" spans="1:15" x14ac:dyDescent="0.4">
      <c r="A27" s="3" t="s">
        <v>60</v>
      </c>
      <c r="B27" t="s">
        <v>61</v>
      </c>
      <c r="C27" s="15">
        <v>16.559999999999999</v>
      </c>
      <c r="D27" t="s">
        <v>615</v>
      </c>
      <c r="E27" s="15">
        <f>16.56*0.25</f>
        <v>4.1399999999999997</v>
      </c>
      <c r="F27" s="14" t="s">
        <v>616</v>
      </c>
    </row>
    <row r="28" spans="1:15" x14ac:dyDescent="0.4">
      <c r="A28" t="s">
        <v>63</v>
      </c>
      <c r="B28" t="s">
        <v>64</v>
      </c>
      <c r="C28" s="15">
        <v>5.98</v>
      </c>
      <c r="D28" t="s">
        <v>617</v>
      </c>
      <c r="E28" s="15">
        <f>5.98/6</f>
        <v>0.9966666666666667</v>
      </c>
      <c r="F28" s="14" t="s">
        <v>618</v>
      </c>
    </row>
    <row r="29" spans="1:15" x14ac:dyDescent="0.4">
      <c r="A29" t="s">
        <v>66</v>
      </c>
      <c r="B29" t="s">
        <v>12</v>
      </c>
      <c r="C29" s="15">
        <v>5.47</v>
      </c>
      <c r="D29" t="s">
        <v>609</v>
      </c>
      <c r="E29" s="15">
        <f>5.47/2</f>
        <v>2.7349999999999999</v>
      </c>
      <c r="F29" s="14" t="s">
        <v>619</v>
      </c>
    </row>
    <row r="30" spans="1:15" x14ac:dyDescent="0.4">
      <c r="A30" t="s">
        <v>26</v>
      </c>
      <c r="B30" t="s">
        <v>68</v>
      </c>
      <c r="C30" s="15">
        <v>11.16</v>
      </c>
      <c r="D30" t="s">
        <v>597</v>
      </c>
      <c r="E30" s="15">
        <f xml:space="preserve"> 11.16*(4/576)</f>
        <v>7.7499999999999999E-2</v>
      </c>
      <c r="F30" t="s">
        <v>69</v>
      </c>
    </row>
    <row r="31" spans="1:15" x14ac:dyDescent="0.4">
      <c r="A31" t="s">
        <v>70</v>
      </c>
      <c r="B31" t="s">
        <v>229</v>
      </c>
      <c r="C31" s="15">
        <v>12.98</v>
      </c>
      <c r="D31" t="s">
        <v>595</v>
      </c>
      <c r="E31" s="15">
        <f xml:space="preserve"> 12.98*(1/135.2)</f>
        <v>9.6005917159763324E-2</v>
      </c>
      <c r="F31" t="s">
        <v>69</v>
      </c>
    </row>
    <row r="32" spans="1:15" x14ac:dyDescent="0.4">
      <c r="A32" s="1" t="s">
        <v>214</v>
      </c>
      <c r="C32" s="15">
        <f>SUM(C25:C31)</f>
        <v>64.260000000000005</v>
      </c>
      <c r="E32" s="15">
        <f>SUM(E25:E31)</f>
        <v>9.334443417159763</v>
      </c>
    </row>
    <row r="33" spans="1:15" x14ac:dyDescent="0.4">
      <c r="A33" s="11" t="s">
        <v>71</v>
      </c>
      <c r="C33" s="15"/>
      <c r="E33" s="15"/>
    </row>
    <row r="34" spans="1:15" x14ac:dyDescent="0.4">
      <c r="A34" s="1"/>
      <c r="C34" s="15"/>
      <c r="E34" s="15"/>
    </row>
    <row r="35" spans="1:15" x14ac:dyDescent="0.4">
      <c r="A35" s="29" t="s">
        <v>72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17">
        <v>6</v>
      </c>
    </row>
    <row r="36" spans="1:15" x14ac:dyDescent="0.4">
      <c r="A36" s="3" t="s">
        <v>73</v>
      </c>
      <c r="B36" t="s">
        <v>74</v>
      </c>
      <c r="C36" s="19">
        <v>19.07</v>
      </c>
      <c r="D36" s="20" t="s">
        <v>620</v>
      </c>
      <c r="E36" s="19">
        <v>5.96</v>
      </c>
      <c r="F36" s="14" t="s">
        <v>621</v>
      </c>
      <c r="G36" s="2"/>
      <c r="H36" s="2"/>
      <c r="I36" s="2"/>
      <c r="J36" s="2"/>
      <c r="K36" s="2"/>
      <c r="L36" s="2"/>
      <c r="M36" s="2"/>
      <c r="N36" s="2"/>
    </row>
    <row r="37" spans="1:15" x14ac:dyDescent="0.4">
      <c r="A37" s="3" t="s">
        <v>76</v>
      </c>
      <c r="B37" s="18">
        <v>1</v>
      </c>
      <c r="C37" s="19" t="s">
        <v>608</v>
      </c>
      <c r="D37" s="20" t="s">
        <v>608</v>
      </c>
      <c r="E37" s="19" t="s">
        <v>608</v>
      </c>
      <c r="F37" s="14" t="s">
        <v>608</v>
      </c>
      <c r="G37" s="19"/>
      <c r="H37" s="14"/>
      <c r="I37" s="2"/>
      <c r="J37" s="2"/>
      <c r="K37" s="2"/>
      <c r="L37" s="2"/>
      <c r="M37" s="2"/>
      <c r="N37" s="2"/>
    </row>
    <row r="38" spans="1:15" x14ac:dyDescent="0.4">
      <c r="A38" t="s">
        <v>79</v>
      </c>
      <c r="B38" t="s">
        <v>64</v>
      </c>
      <c r="C38" s="19">
        <v>9.8800000000000008</v>
      </c>
      <c r="D38" s="20" t="s">
        <v>622</v>
      </c>
      <c r="E38" s="19">
        <f>9.88/8</f>
        <v>1.2350000000000001</v>
      </c>
      <c r="F38" s="14" t="s">
        <v>623</v>
      </c>
      <c r="G38" s="2"/>
      <c r="H38" s="2"/>
      <c r="I38" s="2"/>
      <c r="J38" s="2"/>
      <c r="K38" s="2"/>
      <c r="L38" s="2"/>
      <c r="M38" s="2"/>
      <c r="N38" s="2"/>
    </row>
    <row r="39" spans="1:15" x14ac:dyDescent="0.4">
      <c r="A39" t="s">
        <v>82</v>
      </c>
      <c r="B39" t="s">
        <v>83</v>
      </c>
      <c r="C39" s="19">
        <v>6.98</v>
      </c>
      <c r="D39" s="20" t="s">
        <v>624</v>
      </c>
      <c r="E39" s="19">
        <f>6.98/10</f>
        <v>0.69800000000000006</v>
      </c>
      <c r="F39" s="14" t="s">
        <v>625</v>
      </c>
      <c r="G39" s="2"/>
      <c r="H39" s="2"/>
      <c r="I39" s="2"/>
      <c r="J39" s="2"/>
      <c r="K39" s="2"/>
      <c r="L39" s="2"/>
      <c r="M39" s="2"/>
      <c r="N39" s="2"/>
    </row>
    <row r="40" spans="1:15" x14ac:dyDescent="0.4">
      <c r="A40" t="s">
        <v>230</v>
      </c>
      <c r="B40" t="s">
        <v>64</v>
      </c>
      <c r="C40" s="15">
        <v>5.98</v>
      </c>
      <c r="D40" t="s">
        <v>617</v>
      </c>
      <c r="E40" s="15">
        <f>5.98/6</f>
        <v>0.9966666666666667</v>
      </c>
      <c r="F40" s="14" t="s">
        <v>626</v>
      </c>
    </row>
    <row r="41" spans="1:15" x14ac:dyDescent="0.4">
      <c r="A41" t="s">
        <v>89</v>
      </c>
      <c r="B41" t="s">
        <v>64</v>
      </c>
      <c r="C41" s="15">
        <v>8.42</v>
      </c>
      <c r="D41" t="s">
        <v>622</v>
      </c>
      <c r="E41" s="15">
        <f>8.42/8</f>
        <v>1.0525</v>
      </c>
      <c r="F41" s="14" t="s">
        <v>627</v>
      </c>
    </row>
    <row r="42" spans="1:15" x14ac:dyDescent="0.4">
      <c r="A42" t="s">
        <v>26</v>
      </c>
      <c r="B42" t="s">
        <v>91</v>
      </c>
      <c r="C42" s="15">
        <v>11.16</v>
      </c>
      <c r="D42" t="s">
        <v>597</v>
      </c>
      <c r="E42" s="15">
        <f xml:space="preserve"> 11.16*(4/576)</f>
        <v>7.7499999999999999E-2</v>
      </c>
      <c r="F42" t="s">
        <v>69</v>
      </c>
    </row>
    <row r="43" spans="1:15" x14ac:dyDescent="0.4">
      <c r="A43" t="s">
        <v>66</v>
      </c>
      <c r="B43" t="s">
        <v>92</v>
      </c>
      <c r="C43" s="15">
        <v>5.47</v>
      </c>
      <c r="D43" t="s">
        <v>609</v>
      </c>
      <c r="E43" s="15">
        <f>5.47/2</f>
        <v>2.7349999999999999</v>
      </c>
      <c r="F43" t="s">
        <v>69</v>
      </c>
    </row>
    <row r="44" spans="1:15" x14ac:dyDescent="0.4">
      <c r="A44" t="s">
        <v>93</v>
      </c>
      <c r="B44" t="s">
        <v>94</v>
      </c>
      <c r="C44" s="15">
        <v>4.4800000000000004</v>
      </c>
      <c r="D44" t="s">
        <v>628</v>
      </c>
      <c r="E44" s="15">
        <f>4.48/2</f>
        <v>2.2400000000000002</v>
      </c>
      <c r="F44" s="14" t="s">
        <v>629</v>
      </c>
    </row>
    <row r="45" spans="1:15" x14ac:dyDescent="0.4">
      <c r="A45" t="s">
        <v>96</v>
      </c>
      <c r="B45" t="s">
        <v>231</v>
      </c>
      <c r="C45" s="15">
        <v>4.97</v>
      </c>
      <c r="D45" t="s">
        <v>630</v>
      </c>
      <c r="E45" s="15">
        <f>4.97*(8/28)</f>
        <v>1.42</v>
      </c>
      <c r="F45" s="14" t="s">
        <v>631</v>
      </c>
    </row>
    <row r="46" spans="1:15" x14ac:dyDescent="0.4">
      <c r="A46" s="1" t="s">
        <v>214</v>
      </c>
      <c r="C46" s="15">
        <f>SUM(C36:C45)</f>
        <v>76.410000000000011</v>
      </c>
      <c r="E46" s="15">
        <f>SUM(E36:E45)</f>
        <v>16.414666666666669</v>
      </c>
    </row>
    <row r="47" spans="1:15" x14ac:dyDescent="0.4">
      <c r="A47" s="11" t="s">
        <v>71</v>
      </c>
      <c r="C47" s="15"/>
      <c r="E47" s="15"/>
    </row>
    <row r="48" spans="1:15" x14ac:dyDescent="0.4">
      <c r="C48" s="15"/>
      <c r="E48" s="15"/>
    </row>
    <row r="49" spans="1:15" x14ac:dyDescent="0.4">
      <c r="A49" s="29" t="s">
        <v>99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17">
        <v>4</v>
      </c>
    </row>
    <row r="50" spans="1:15" x14ac:dyDescent="0.4">
      <c r="A50" t="s">
        <v>100</v>
      </c>
      <c r="B50" t="s">
        <v>101</v>
      </c>
      <c r="C50" s="15">
        <v>6.72</v>
      </c>
      <c r="D50" t="s">
        <v>632</v>
      </c>
      <c r="E50" s="15">
        <f>6.72*(2/42)</f>
        <v>0.31999999999999995</v>
      </c>
      <c r="F50" s="14" t="s">
        <v>633</v>
      </c>
    </row>
    <row r="51" spans="1:15" x14ac:dyDescent="0.4">
      <c r="A51" t="s">
        <v>103</v>
      </c>
      <c r="B51" t="s">
        <v>104</v>
      </c>
      <c r="C51" s="15">
        <v>6.58</v>
      </c>
      <c r="D51" t="s">
        <v>634</v>
      </c>
      <c r="E51" s="15">
        <f>6.58*(2/400)</f>
        <v>3.2899999999999999E-2</v>
      </c>
      <c r="F51" s="14" t="s">
        <v>635</v>
      </c>
    </row>
    <row r="52" spans="1:15" x14ac:dyDescent="0.4">
      <c r="A52" s="3" t="s">
        <v>106</v>
      </c>
      <c r="B52" t="s">
        <v>47</v>
      </c>
      <c r="C52" s="15">
        <v>7.78</v>
      </c>
      <c r="D52" t="s">
        <v>636</v>
      </c>
      <c r="E52" s="15">
        <f>7.78*(0.34/44)</f>
        <v>6.0118181818181821E-2</v>
      </c>
      <c r="F52" s="14" t="s">
        <v>637</v>
      </c>
    </row>
    <row r="53" spans="1:15" x14ac:dyDescent="0.4">
      <c r="A53" s="3" t="s">
        <v>108</v>
      </c>
      <c r="B53" t="s">
        <v>109</v>
      </c>
      <c r="C53" s="15">
        <v>8.8800000000000008</v>
      </c>
      <c r="D53" t="s">
        <v>638</v>
      </c>
      <c r="E53" s="15">
        <f>8.88*(0.5/135)</f>
        <v>3.2888888888888891E-2</v>
      </c>
      <c r="F53" s="14" t="s">
        <v>639</v>
      </c>
    </row>
    <row r="54" spans="1:15" x14ac:dyDescent="0.4">
      <c r="A54" t="s">
        <v>111</v>
      </c>
      <c r="B54" t="s">
        <v>109</v>
      </c>
      <c r="C54" s="15">
        <v>11.16</v>
      </c>
      <c r="D54" t="s">
        <v>597</v>
      </c>
      <c r="E54" s="15">
        <f xml:space="preserve"> 11.16*(4/576)</f>
        <v>7.7499999999999999E-2</v>
      </c>
      <c r="F54" t="s">
        <v>69</v>
      </c>
    </row>
    <row r="55" spans="1:15" x14ac:dyDescent="0.4">
      <c r="A55" t="s">
        <v>113</v>
      </c>
      <c r="B55" t="s">
        <v>114</v>
      </c>
      <c r="C55" s="15" t="s">
        <v>608</v>
      </c>
      <c r="D55" t="s">
        <v>608</v>
      </c>
      <c r="E55" s="15" t="s">
        <v>608</v>
      </c>
      <c r="F55" s="14" t="s">
        <v>608</v>
      </c>
    </row>
    <row r="56" spans="1:15" x14ac:dyDescent="0.4">
      <c r="A56" t="s">
        <v>116</v>
      </c>
      <c r="B56">
        <v>2</v>
      </c>
      <c r="C56" s="15">
        <v>4.42</v>
      </c>
      <c r="D56">
        <v>24</v>
      </c>
      <c r="E56" s="15">
        <f>4.42/12</f>
        <v>0.36833333333333335</v>
      </c>
      <c r="F56" s="14" t="s">
        <v>640</v>
      </c>
    </row>
    <row r="57" spans="1:15" x14ac:dyDescent="0.4">
      <c r="A57" t="s">
        <v>118</v>
      </c>
      <c r="B57" t="s">
        <v>119</v>
      </c>
      <c r="C57" s="15">
        <v>12.88</v>
      </c>
      <c r="D57" t="s">
        <v>641</v>
      </c>
      <c r="E57" s="15">
        <f>12.88*(4/384)</f>
        <v>0.13416666666666666</v>
      </c>
      <c r="F57" s="14" t="s">
        <v>642</v>
      </c>
    </row>
    <row r="58" spans="1:15" x14ac:dyDescent="0.4">
      <c r="A58" s="1" t="s">
        <v>214</v>
      </c>
      <c r="C58" s="15">
        <f>SUM(C50:C57)</f>
        <v>58.420000000000009</v>
      </c>
      <c r="E58" s="15">
        <f>SUM(E50:E57)</f>
        <v>1.0259070707070705</v>
      </c>
    </row>
    <row r="59" spans="1:15" x14ac:dyDescent="0.4">
      <c r="A59" s="13" t="s">
        <v>121</v>
      </c>
      <c r="C59" s="15"/>
      <c r="E59" s="15"/>
    </row>
    <row r="60" spans="1:15" x14ac:dyDescent="0.4">
      <c r="A60" s="11"/>
      <c r="C60" s="15"/>
      <c r="E60" s="15"/>
    </row>
    <row r="61" spans="1:15" x14ac:dyDescent="0.4">
      <c r="A61" s="29" t="s">
        <v>122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17">
        <v>2</v>
      </c>
    </row>
    <row r="62" spans="1:15" x14ac:dyDescent="0.4">
      <c r="A62" t="s">
        <v>123</v>
      </c>
      <c r="B62" t="s">
        <v>124</v>
      </c>
      <c r="C62" s="15">
        <v>2.2599999999999998</v>
      </c>
      <c r="D62" t="s">
        <v>643</v>
      </c>
      <c r="E62" s="15">
        <f>2.26*(3/14)</f>
        <v>0.48428571428571421</v>
      </c>
      <c r="F62" s="14" t="s">
        <v>644</v>
      </c>
    </row>
    <row r="63" spans="1:15" x14ac:dyDescent="0.4">
      <c r="A63" t="s">
        <v>126</v>
      </c>
      <c r="B63" t="s">
        <v>127</v>
      </c>
      <c r="C63" s="15">
        <v>16.559999999999999</v>
      </c>
      <c r="D63" t="s">
        <v>645</v>
      </c>
      <c r="E63" s="15">
        <v>1.44</v>
      </c>
      <c r="F63" t="s">
        <v>69</v>
      </c>
    </row>
    <row r="64" spans="1:15" x14ac:dyDescent="0.4">
      <c r="A64" t="s">
        <v>134</v>
      </c>
      <c r="B64" t="s">
        <v>38</v>
      </c>
      <c r="C64" s="15">
        <v>10.74</v>
      </c>
      <c r="D64" t="s">
        <v>646</v>
      </c>
      <c r="E64" s="15">
        <f>10.74/12</f>
        <v>0.89500000000000002</v>
      </c>
      <c r="F64" s="14" t="s">
        <v>647</v>
      </c>
    </row>
    <row r="65" spans="1:15" x14ac:dyDescent="0.4">
      <c r="A65" s="3" t="s">
        <v>137</v>
      </c>
      <c r="B65" t="s">
        <v>138</v>
      </c>
      <c r="C65" s="15">
        <v>6.98</v>
      </c>
      <c r="D65" t="s">
        <v>593</v>
      </c>
      <c r="E65" s="15">
        <f>6.98/65</f>
        <v>0.1073846153846154</v>
      </c>
      <c r="F65" s="14" t="s">
        <v>648</v>
      </c>
    </row>
    <row r="66" spans="1:15" x14ac:dyDescent="0.4">
      <c r="A66" t="s">
        <v>140</v>
      </c>
      <c r="B66" t="s">
        <v>22</v>
      </c>
      <c r="C66" s="15" t="s">
        <v>608</v>
      </c>
      <c r="D66" t="s">
        <v>608</v>
      </c>
      <c r="E66" s="15" t="s">
        <v>608</v>
      </c>
      <c r="F66" s="14" t="s">
        <v>608</v>
      </c>
    </row>
    <row r="67" spans="1:15" x14ac:dyDescent="0.4">
      <c r="A67" s="1" t="s">
        <v>214</v>
      </c>
      <c r="C67" s="15">
        <f>SUM(C61:C66)</f>
        <v>36.540000000000006</v>
      </c>
      <c r="E67" s="15">
        <f>SUM(E61:E66)</f>
        <v>2.9266703296703294</v>
      </c>
    </row>
    <row r="68" spans="1:15" x14ac:dyDescent="0.4">
      <c r="A68" s="13" t="s">
        <v>142</v>
      </c>
      <c r="C68" s="15"/>
      <c r="E68" s="15"/>
    </row>
    <row r="69" spans="1:15" x14ac:dyDescent="0.4">
      <c r="A69" s="11"/>
      <c r="C69" s="15"/>
      <c r="E69" s="15"/>
    </row>
    <row r="70" spans="1:15" x14ac:dyDescent="0.4">
      <c r="A70" s="29" t="s">
        <v>143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17">
        <v>4</v>
      </c>
    </row>
    <row r="71" spans="1:15" x14ac:dyDescent="0.4">
      <c r="A71" t="s">
        <v>144</v>
      </c>
      <c r="B71">
        <v>3</v>
      </c>
      <c r="C71" s="15">
        <v>6.67</v>
      </c>
      <c r="D71">
        <v>6</v>
      </c>
      <c r="E71" s="15">
        <f>6.67*0.5</f>
        <v>3.335</v>
      </c>
      <c r="F71" s="14" t="s">
        <v>649</v>
      </c>
    </row>
    <row r="72" spans="1:15" x14ac:dyDescent="0.4">
      <c r="A72" t="s">
        <v>145</v>
      </c>
      <c r="B72">
        <v>1</v>
      </c>
      <c r="C72" s="15">
        <v>4.87</v>
      </c>
      <c r="D72">
        <v>10</v>
      </c>
      <c r="E72" s="15">
        <f>4.87*(1/10)</f>
        <v>0.48700000000000004</v>
      </c>
      <c r="F72" s="14" t="s">
        <v>650</v>
      </c>
    </row>
    <row r="73" spans="1:15" x14ac:dyDescent="0.4">
      <c r="A73" t="s">
        <v>146</v>
      </c>
      <c r="B73">
        <v>1</v>
      </c>
      <c r="C73" s="15">
        <v>11.26</v>
      </c>
      <c r="D73" t="s">
        <v>651</v>
      </c>
      <c r="E73" s="15">
        <f>11.26 *(15/224)</f>
        <v>0.75401785714285707</v>
      </c>
      <c r="F73" s="14" t="s">
        <v>652</v>
      </c>
    </row>
    <row r="74" spans="1:15" x14ac:dyDescent="0.4">
      <c r="A74" t="s">
        <v>147</v>
      </c>
      <c r="B74" t="s">
        <v>148</v>
      </c>
      <c r="C74" s="15">
        <v>12.98</v>
      </c>
      <c r="D74" t="s">
        <v>595</v>
      </c>
      <c r="E74" s="15">
        <f xml:space="preserve"> 12.98*(1/135.2)</f>
        <v>9.6005917159763324E-2</v>
      </c>
      <c r="F74" t="s">
        <v>69</v>
      </c>
    </row>
    <row r="75" spans="1:15" x14ac:dyDescent="0.4">
      <c r="A75" t="s">
        <v>73</v>
      </c>
      <c r="B75" t="s">
        <v>149</v>
      </c>
      <c r="C75" s="19">
        <v>19.07</v>
      </c>
      <c r="D75" s="20" t="s">
        <v>620</v>
      </c>
      <c r="E75" s="19">
        <v>5.96</v>
      </c>
      <c r="F75" t="s">
        <v>69</v>
      </c>
    </row>
    <row r="76" spans="1:15" x14ac:dyDescent="0.4">
      <c r="A76" t="s">
        <v>150</v>
      </c>
      <c r="B76" t="s">
        <v>101</v>
      </c>
      <c r="C76" s="15">
        <v>5.98</v>
      </c>
      <c r="D76" t="s">
        <v>653</v>
      </c>
      <c r="E76" s="15">
        <f>5.98*(16/96)</f>
        <v>0.9966666666666667</v>
      </c>
      <c r="F76" s="14" t="s">
        <v>654</v>
      </c>
    </row>
    <row r="77" spans="1:15" x14ac:dyDescent="0.4">
      <c r="A77" t="s">
        <v>151</v>
      </c>
      <c r="B77" t="s">
        <v>17</v>
      </c>
      <c r="C77" s="15">
        <v>11.48</v>
      </c>
      <c r="D77" t="s">
        <v>655</v>
      </c>
      <c r="E77" s="15">
        <f>11.48*(1/62.5)</f>
        <v>0.18368000000000001</v>
      </c>
      <c r="F77" s="14" t="s">
        <v>656</v>
      </c>
    </row>
    <row r="78" spans="1:15" x14ac:dyDescent="0.4">
      <c r="A78" t="s">
        <v>152</v>
      </c>
      <c r="B78" t="s">
        <v>68</v>
      </c>
      <c r="C78" s="15">
        <v>8.44</v>
      </c>
      <c r="D78" t="s">
        <v>657</v>
      </c>
      <c r="E78" s="15">
        <f>8.44*(0.2/18)</f>
        <v>9.3777777777777779E-2</v>
      </c>
      <c r="F78" s="14" t="s">
        <v>658</v>
      </c>
    </row>
    <row r="79" spans="1:15" x14ac:dyDescent="0.4">
      <c r="A79" t="s">
        <v>111</v>
      </c>
      <c r="B79" t="s">
        <v>68</v>
      </c>
      <c r="C79" s="15">
        <v>11.16</v>
      </c>
      <c r="D79" t="s">
        <v>597</v>
      </c>
      <c r="E79" s="15">
        <f xml:space="preserve"> 11.16*(4/576)</f>
        <v>7.7499999999999999E-2</v>
      </c>
      <c r="F79" t="s">
        <v>69</v>
      </c>
    </row>
    <row r="80" spans="1:15" x14ac:dyDescent="0.4">
      <c r="A80" t="s">
        <v>153</v>
      </c>
      <c r="B80" t="s">
        <v>148</v>
      </c>
      <c r="C80" s="15">
        <v>5.68</v>
      </c>
      <c r="D80" t="s">
        <v>599</v>
      </c>
      <c r="E80" s="15">
        <f>5.68*(2/96)</f>
        <v>0.11833333333333332</v>
      </c>
      <c r="F80" t="s">
        <v>69</v>
      </c>
    </row>
    <row r="81" spans="1:15" x14ac:dyDescent="0.4">
      <c r="A81" t="s">
        <v>154</v>
      </c>
      <c r="B81" t="s">
        <v>68</v>
      </c>
      <c r="C81" s="15">
        <v>5.98</v>
      </c>
      <c r="D81" t="s">
        <v>659</v>
      </c>
      <c r="E81" s="15">
        <f>5.98*(0.08/5.5)</f>
        <v>8.6981818181818188E-2</v>
      </c>
      <c r="F81" s="14" t="s">
        <v>660</v>
      </c>
    </row>
    <row r="82" spans="1:15" x14ac:dyDescent="0.4">
      <c r="A82" t="s">
        <v>155</v>
      </c>
      <c r="B82" t="s">
        <v>68</v>
      </c>
      <c r="C82" s="15">
        <v>5.98</v>
      </c>
      <c r="D82" t="s">
        <v>661</v>
      </c>
      <c r="E82" s="15">
        <f>5.98*(0.07/13.5)</f>
        <v>3.1007407407407414E-2</v>
      </c>
      <c r="F82" s="14" t="s">
        <v>662</v>
      </c>
    </row>
    <row r="83" spans="1:15" x14ac:dyDescent="0.4">
      <c r="A83" s="1" t="s">
        <v>214</v>
      </c>
      <c r="C83" s="15">
        <f>SUM(C71:C82)</f>
        <v>109.55000000000001</v>
      </c>
      <c r="E83" s="15">
        <f>SUM(E71:E82)</f>
        <v>12.219970777669626</v>
      </c>
    </row>
    <row r="84" spans="1:15" x14ac:dyDescent="0.4">
      <c r="A84" s="11" t="s">
        <v>71</v>
      </c>
      <c r="C84" s="15"/>
      <c r="E84" s="15"/>
    </row>
    <row r="85" spans="1:15" x14ac:dyDescent="0.4">
      <c r="C85" s="15"/>
      <c r="E85" s="15"/>
    </row>
    <row r="86" spans="1:15" x14ac:dyDescent="0.4">
      <c r="A86" s="29" t="s">
        <v>156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17">
        <v>4</v>
      </c>
    </row>
    <row r="87" spans="1:15" x14ac:dyDescent="0.4">
      <c r="A87" t="s">
        <v>73</v>
      </c>
      <c r="B87" t="s">
        <v>149</v>
      </c>
      <c r="C87" s="19">
        <v>19.07</v>
      </c>
      <c r="D87" s="20" t="s">
        <v>620</v>
      </c>
      <c r="E87" s="19">
        <v>5.96</v>
      </c>
      <c r="F87" t="s">
        <v>69</v>
      </c>
    </row>
    <row r="88" spans="1:15" x14ac:dyDescent="0.4">
      <c r="A88" t="s">
        <v>145</v>
      </c>
      <c r="B88" s="9">
        <v>0.5</v>
      </c>
      <c r="C88" s="15">
        <v>4.87</v>
      </c>
      <c r="D88">
        <v>10</v>
      </c>
      <c r="E88" s="15">
        <f>4.87*(1/10)</f>
        <v>0.48700000000000004</v>
      </c>
      <c r="F88" t="s">
        <v>69</v>
      </c>
    </row>
    <row r="89" spans="1:15" x14ac:dyDescent="0.4">
      <c r="A89" t="s">
        <v>157</v>
      </c>
      <c r="B89" s="8" t="s">
        <v>17</v>
      </c>
      <c r="C89" s="15">
        <v>5.94</v>
      </c>
      <c r="D89" t="s">
        <v>663</v>
      </c>
      <c r="E89" s="15">
        <f>5.94*(1/25)</f>
        <v>0.23760000000000003</v>
      </c>
      <c r="F89" s="14" t="s">
        <v>664</v>
      </c>
    </row>
    <row r="90" spans="1:15" x14ac:dyDescent="0.4">
      <c r="A90" t="s">
        <v>158</v>
      </c>
      <c r="B90">
        <v>1</v>
      </c>
      <c r="C90" s="15">
        <v>4.42</v>
      </c>
      <c r="D90">
        <v>24</v>
      </c>
      <c r="E90" s="15">
        <f>4.42/24</f>
        <v>0.18416666666666667</v>
      </c>
      <c r="F90" t="s">
        <v>69</v>
      </c>
    </row>
    <row r="91" spans="1:15" x14ac:dyDescent="0.4">
      <c r="A91" t="s">
        <v>232</v>
      </c>
      <c r="B91" t="s">
        <v>38</v>
      </c>
      <c r="C91" s="15">
        <v>3.94</v>
      </c>
      <c r="D91" t="s">
        <v>606</v>
      </c>
      <c r="E91" s="15">
        <f>3.94*((1/4)/7.375)</f>
        <v>0.13355932203389831</v>
      </c>
      <c r="F91" t="s">
        <v>69</v>
      </c>
    </row>
    <row r="92" spans="1:15" x14ac:dyDescent="0.4">
      <c r="A92" t="s">
        <v>26</v>
      </c>
      <c r="B92" t="s">
        <v>68</v>
      </c>
      <c r="C92" s="15">
        <v>11.16</v>
      </c>
      <c r="D92" t="s">
        <v>597</v>
      </c>
      <c r="E92" s="15">
        <f xml:space="preserve"> 11.16*(4/576)</f>
        <v>7.7499999999999999E-2</v>
      </c>
      <c r="F92" t="s">
        <v>69</v>
      </c>
    </row>
    <row r="93" spans="1:15" x14ac:dyDescent="0.4">
      <c r="A93" t="s">
        <v>147</v>
      </c>
      <c r="B93" t="s">
        <v>148</v>
      </c>
      <c r="C93" s="15">
        <v>12.98</v>
      </c>
      <c r="D93" t="s">
        <v>595</v>
      </c>
      <c r="E93" s="15">
        <f xml:space="preserve"> 12.98*(1/135.2)</f>
        <v>9.6005917159763324E-2</v>
      </c>
      <c r="F93" t="s">
        <v>69</v>
      </c>
    </row>
    <row r="94" spans="1:15" x14ac:dyDescent="0.4">
      <c r="A94" s="1" t="s">
        <v>214</v>
      </c>
      <c r="C94" s="15">
        <f>SUM(C87:C93)</f>
        <v>62.38000000000001</v>
      </c>
      <c r="E94" s="15">
        <f>SUM(E87:E93)</f>
        <v>7.1758319058603277</v>
      </c>
    </row>
    <row r="95" spans="1:15" x14ac:dyDescent="0.4">
      <c r="A95" s="11" t="s">
        <v>71</v>
      </c>
      <c r="C95" s="15"/>
      <c r="E95" s="15"/>
    </row>
    <row r="96" spans="1:15" x14ac:dyDescent="0.4">
      <c r="C96" s="15"/>
      <c r="E96" s="15"/>
    </row>
    <row r="97" spans="1:15" x14ac:dyDescent="0.4">
      <c r="A97" s="29" t="s">
        <v>159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17">
        <v>4</v>
      </c>
    </row>
    <row r="98" spans="1:15" x14ac:dyDescent="0.4">
      <c r="A98" t="s">
        <v>73</v>
      </c>
      <c r="B98" t="s">
        <v>160</v>
      </c>
      <c r="C98" s="19">
        <v>19.07</v>
      </c>
      <c r="D98" s="20" t="s">
        <v>620</v>
      </c>
      <c r="E98" s="19">
        <f>5.96/2</f>
        <v>2.98</v>
      </c>
      <c r="F98" t="s">
        <v>69</v>
      </c>
    </row>
    <row r="99" spans="1:15" x14ac:dyDescent="0.4">
      <c r="A99" t="s">
        <v>161</v>
      </c>
      <c r="B99" t="s">
        <v>17</v>
      </c>
      <c r="C99" s="15">
        <v>11.48</v>
      </c>
      <c r="D99" t="s">
        <v>655</v>
      </c>
      <c r="E99" s="15">
        <f>11.48*(1/62.5)</f>
        <v>0.18368000000000001</v>
      </c>
      <c r="F99" t="s">
        <v>69</v>
      </c>
    </row>
    <row r="100" spans="1:15" x14ac:dyDescent="0.4">
      <c r="A100" t="s">
        <v>162</v>
      </c>
      <c r="B100">
        <v>2</v>
      </c>
      <c r="C100" s="15">
        <v>3.72</v>
      </c>
      <c r="D100">
        <v>5</v>
      </c>
      <c r="E100" s="15">
        <f>3.72*0.4</f>
        <v>1.4880000000000002</v>
      </c>
      <c r="F100" s="14" t="s">
        <v>665</v>
      </c>
    </row>
    <row r="101" spans="1:15" x14ac:dyDescent="0.4">
      <c r="A101" t="s">
        <v>163</v>
      </c>
      <c r="B101" t="s">
        <v>17</v>
      </c>
      <c r="C101" s="15">
        <v>6.16</v>
      </c>
      <c r="D101" t="s">
        <v>609</v>
      </c>
      <c r="E101" s="15">
        <f>6.16*(1/8)</f>
        <v>0.77</v>
      </c>
      <c r="F101" s="14" t="s">
        <v>666</v>
      </c>
    </row>
    <row r="102" spans="1:15" x14ac:dyDescent="0.4">
      <c r="A102" t="s">
        <v>158</v>
      </c>
      <c r="B102">
        <v>2</v>
      </c>
      <c r="C102" s="15">
        <v>4.42</v>
      </c>
      <c r="D102">
        <v>24</v>
      </c>
      <c r="E102" s="15">
        <f>4.42/12</f>
        <v>0.36833333333333335</v>
      </c>
      <c r="F102" t="s">
        <v>69</v>
      </c>
    </row>
    <row r="103" spans="1:15" x14ac:dyDescent="0.4">
      <c r="A103" t="s">
        <v>164</v>
      </c>
      <c r="B103">
        <v>4</v>
      </c>
      <c r="C103" s="15">
        <v>3.67</v>
      </c>
      <c r="D103">
        <v>24</v>
      </c>
      <c r="E103" s="15">
        <f>3.67*(1/6)</f>
        <v>0.61166666666666658</v>
      </c>
      <c r="F103" t="s">
        <v>69</v>
      </c>
    </row>
    <row r="104" spans="1:15" x14ac:dyDescent="0.4">
      <c r="A104" t="s">
        <v>147</v>
      </c>
      <c r="B104" t="s">
        <v>22</v>
      </c>
      <c r="C104" s="15">
        <v>12.98</v>
      </c>
      <c r="D104" t="s">
        <v>595</v>
      </c>
      <c r="E104" s="15">
        <f xml:space="preserve"> 12.98*(2/135.2)</f>
        <v>0.19201183431952665</v>
      </c>
      <c r="F104" t="s">
        <v>69</v>
      </c>
    </row>
    <row r="105" spans="1:15" x14ac:dyDescent="0.4">
      <c r="A105" s="1" t="s">
        <v>214</v>
      </c>
      <c r="C105" s="15">
        <f>SUM(C98:C104)</f>
        <v>61.500000000000014</v>
      </c>
      <c r="E105" s="15">
        <f>SUM(E98:E104)</f>
        <v>6.5936918343195261</v>
      </c>
    </row>
    <row r="106" spans="1:15" x14ac:dyDescent="0.4">
      <c r="A106" s="11" t="s">
        <v>71</v>
      </c>
      <c r="C106" s="15"/>
      <c r="E106" s="15"/>
    </row>
    <row r="107" spans="1:15" x14ac:dyDescent="0.4">
      <c r="C107" s="15"/>
      <c r="E107" s="15"/>
    </row>
    <row r="108" spans="1:15" x14ac:dyDescent="0.4">
      <c r="A108" s="29" t="s">
        <v>165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17">
        <v>1</v>
      </c>
    </row>
    <row r="109" spans="1:15" x14ac:dyDescent="0.4">
      <c r="A109" t="s">
        <v>166</v>
      </c>
      <c r="B109" t="s">
        <v>167</v>
      </c>
      <c r="C109" s="15">
        <v>3.28</v>
      </c>
      <c r="D109" t="s">
        <v>397</v>
      </c>
      <c r="E109" s="15">
        <f>3.28/20</f>
        <v>0.16399999999999998</v>
      </c>
      <c r="F109" s="14" t="s">
        <v>667</v>
      </c>
    </row>
    <row r="110" spans="1:15" x14ac:dyDescent="0.4">
      <c r="A110" t="s">
        <v>168</v>
      </c>
      <c r="B110" t="s">
        <v>169</v>
      </c>
      <c r="C110" s="15">
        <v>7.63</v>
      </c>
      <c r="D110" t="s">
        <v>668</v>
      </c>
      <c r="E110" s="15">
        <f>7.63/42</f>
        <v>0.18166666666666667</v>
      </c>
      <c r="F110" s="14" t="s">
        <v>669</v>
      </c>
    </row>
    <row r="111" spans="1:15" x14ac:dyDescent="0.4">
      <c r="A111" t="s">
        <v>170</v>
      </c>
      <c r="B111" t="s">
        <v>68</v>
      </c>
      <c r="C111" s="15">
        <v>7.48</v>
      </c>
      <c r="D111" t="s">
        <v>670</v>
      </c>
      <c r="E111" s="15">
        <f>7.48/180</f>
        <v>4.1555555555555561E-2</v>
      </c>
      <c r="F111" s="14" t="s">
        <v>671</v>
      </c>
    </row>
    <row r="112" spans="1:15" x14ac:dyDescent="0.4">
      <c r="A112" t="s">
        <v>171</v>
      </c>
      <c r="B112" t="s">
        <v>172</v>
      </c>
      <c r="C112" s="15">
        <v>5.48</v>
      </c>
      <c r="D112" t="s">
        <v>670</v>
      </c>
      <c r="E112" s="15">
        <f>5.48/180</f>
        <v>3.0444444444444448E-2</v>
      </c>
      <c r="F112" s="14" t="s">
        <v>672</v>
      </c>
    </row>
    <row r="113" spans="1:6" x14ac:dyDescent="0.4">
      <c r="A113" t="s">
        <v>162</v>
      </c>
      <c r="B113" s="8" t="s">
        <v>173</v>
      </c>
      <c r="C113" s="15">
        <v>3.72</v>
      </c>
      <c r="D113">
        <v>5</v>
      </c>
      <c r="E113" s="15">
        <f>3.72*(1/10)</f>
        <v>0.37200000000000005</v>
      </c>
      <c r="F113" t="s">
        <v>69</v>
      </c>
    </row>
    <row r="114" spans="1:6" x14ac:dyDescent="0.4">
      <c r="A114" t="s">
        <v>174</v>
      </c>
      <c r="B114" t="s">
        <v>175</v>
      </c>
      <c r="C114" s="15">
        <v>2.2599999999999998</v>
      </c>
      <c r="D114" t="s">
        <v>673</v>
      </c>
      <c r="E114" s="15">
        <f>2.26*(2/14)</f>
        <v>0.32285714285714279</v>
      </c>
      <c r="F114" t="s">
        <v>69</v>
      </c>
    </row>
    <row r="115" spans="1:6" x14ac:dyDescent="0.4">
      <c r="A115" t="s">
        <v>176</v>
      </c>
      <c r="B115" t="s">
        <v>167</v>
      </c>
      <c r="C115" s="15">
        <v>4.82</v>
      </c>
      <c r="D115" t="s">
        <v>674</v>
      </c>
      <c r="E115" s="15">
        <f>4.82*(0.2/3)</f>
        <v>0.32133333333333336</v>
      </c>
      <c r="F115" s="14" t="s">
        <v>675</v>
      </c>
    </row>
    <row r="116" spans="1:6" x14ac:dyDescent="0.4">
      <c r="A116" t="s">
        <v>177</v>
      </c>
      <c r="B116" t="s">
        <v>173</v>
      </c>
      <c r="C116" s="15">
        <v>4.07</v>
      </c>
      <c r="D116" t="s">
        <v>676</v>
      </c>
      <c r="E116" s="15">
        <f>4.07/6</f>
        <v>0.67833333333333334</v>
      </c>
      <c r="F116" s="14" t="s">
        <v>677</v>
      </c>
    </row>
    <row r="117" spans="1:6" x14ac:dyDescent="0.4">
      <c r="A117" t="s">
        <v>178</v>
      </c>
      <c r="B117" t="s">
        <v>179</v>
      </c>
      <c r="C117" s="15">
        <v>5.72</v>
      </c>
      <c r="D117" t="s">
        <v>678</v>
      </c>
      <c r="E117" s="15">
        <f>5.72/12</f>
        <v>0.47666666666666663</v>
      </c>
      <c r="F117" s="14" t="s">
        <v>679</v>
      </c>
    </row>
    <row r="118" spans="1:6" x14ac:dyDescent="0.4">
      <c r="A118" t="s">
        <v>180</v>
      </c>
      <c r="B118" t="s">
        <v>38</v>
      </c>
      <c r="C118" s="15">
        <v>5.94</v>
      </c>
      <c r="D118" t="s">
        <v>609</v>
      </c>
      <c r="E118" s="15">
        <f>5.94/12</f>
        <v>0.49500000000000005</v>
      </c>
      <c r="F118" s="14" t="s">
        <v>680</v>
      </c>
    </row>
    <row r="119" spans="1:6" x14ac:dyDescent="0.4">
      <c r="A119" t="s">
        <v>26</v>
      </c>
      <c r="B119" t="s">
        <v>182</v>
      </c>
      <c r="C119" s="15">
        <v>11.16</v>
      </c>
      <c r="D119" t="s">
        <v>597</v>
      </c>
      <c r="E119" s="15">
        <f xml:space="preserve"> 11.16*(4/576)</f>
        <v>7.7499999999999999E-2</v>
      </c>
      <c r="F119" t="s">
        <v>69</v>
      </c>
    </row>
    <row r="120" spans="1:6" x14ac:dyDescent="0.4">
      <c r="A120" s="1" t="s">
        <v>214</v>
      </c>
      <c r="C120" s="15">
        <f>SUM(C109:C119)</f>
        <v>61.56</v>
      </c>
      <c r="E120" s="15">
        <f>SUM(E109:E119)</f>
        <v>3.1613571428571428</v>
      </c>
    </row>
    <row r="121" spans="1:6" x14ac:dyDescent="0.4">
      <c r="A121" s="11" t="s">
        <v>71</v>
      </c>
      <c r="C121" s="15"/>
      <c r="E121" s="15"/>
    </row>
    <row r="122" spans="1:6" x14ac:dyDescent="0.4">
      <c r="C122" s="15"/>
      <c r="E122" s="15"/>
    </row>
  </sheetData>
  <mergeCells count="10">
    <mergeCell ref="A97:N97"/>
    <mergeCell ref="A108:N108"/>
    <mergeCell ref="A3:N3"/>
    <mergeCell ref="A14:N14"/>
    <mergeCell ref="A24:N24"/>
    <mergeCell ref="A35:N35"/>
    <mergeCell ref="A49:N49"/>
    <mergeCell ref="A61:N61"/>
    <mergeCell ref="A70:N70"/>
    <mergeCell ref="A86:N86"/>
  </mergeCells>
  <hyperlinks>
    <hyperlink ref="F4" r:id="rId1" xr:uid="{E6FBC7C6-E161-4103-98E9-B7B5B0C2C3D8}"/>
    <hyperlink ref="F5" r:id="rId2" xr:uid="{75D1B8CE-40C0-4AF8-A6D3-8F9438FC680B}"/>
    <hyperlink ref="F6" r:id="rId3" xr:uid="{FDE48298-21C3-412A-AF42-2B17B6E69A23}"/>
    <hyperlink ref="F7" r:id="rId4" xr:uid="{81B34A7D-B089-4550-95C7-EB016B910F03}"/>
    <hyperlink ref="F8" r:id="rId5" xr:uid="{A28F7D8D-0F8F-45E3-8EA2-C3EF346EC3E9}"/>
    <hyperlink ref="F9" r:id="rId6" xr:uid="{84D3AB92-02D4-473B-8E8C-28D3216585DD}"/>
    <hyperlink ref="F10" r:id="rId7" xr:uid="{F7C316C7-1FF9-4DE3-886B-3A844A9EDCCA}"/>
    <hyperlink ref="F15" r:id="rId8" xr:uid="{06325183-3AD5-4072-93C6-46E42362CDDE}"/>
    <hyperlink ref="F16" r:id="rId9" xr:uid="{D3F7888C-B6FB-41D9-8D32-566A4139B3AE}"/>
    <hyperlink ref="F17" r:id="rId10" xr:uid="{FA7FF2D6-56C5-476F-AB55-9DFC73B50D08}"/>
    <hyperlink ref="F20" r:id="rId11" xr:uid="{BBC86C14-650D-4107-9E7F-4E3046630E9A}"/>
    <hyperlink ref="F19" r:id="rId12" xr:uid="{3CF650BC-2AD1-4B9F-80F9-8A4F8392805D}"/>
    <hyperlink ref="F26" r:id="rId13" xr:uid="{EBA3C618-AA7D-4821-9E9C-506D0CA37591}"/>
    <hyperlink ref="F25" r:id="rId14" xr:uid="{5CBDE7E9-BBB0-4A76-9A99-EE5DB5F0E718}"/>
    <hyperlink ref="F27" r:id="rId15" xr:uid="{6940F5C3-9FA3-4700-B0F1-964196CC9250}"/>
    <hyperlink ref="F28" r:id="rId16" xr:uid="{8FC41964-E06D-44F6-B133-6CAB75A33D1E}"/>
    <hyperlink ref="F29" r:id="rId17" xr:uid="{AE6E52E3-B15C-489D-8485-A1BD1B0DC17B}"/>
    <hyperlink ref="F36" r:id="rId18" xr:uid="{361319BE-7996-49E1-8532-0F1A4E978EF5}"/>
    <hyperlink ref="F38" r:id="rId19" xr:uid="{56B39951-7560-449D-A3F9-0F41029FA1C8}"/>
    <hyperlink ref="F39" r:id="rId20" xr:uid="{00E1149E-D935-46C8-8823-D0B45DF7638C}"/>
    <hyperlink ref="F40" r:id="rId21" xr:uid="{DA33FE7F-344D-42E7-9977-D9A92D6F7C83}"/>
    <hyperlink ref="F41" r:id="rId22" xr:uid="{A59DAAD0-DBE0-4CDE-B3B4-B54CDC467CBC}"/>
    <hyperlink ref="F44" r:id="rId23" xr:uid="{0120FBBB-730D-49D9-B55F-7EBEC1E5A272}"/>
    <hyperlink ref="F45" r:id="rId24" xr:uid="{09983202-92B9-4CD0-88DA-613F78C8C6AB}"/>
    <hyperlink ref="F50" r:id="rId25" xr:uid="{4AB5AD22-B959-4955-A469-E60B91E01EA5}"/>
    <hyperlink ref="F51" r:id="rId26" xr:uid="{919FF91C-191B-4422-A003-48A28CE0EA77}"/>
    <hyperlink ref="F52" r:id="rId27" xr:uid="{8F44FC78-071B-4443-8C4C-B83CC940916D}"/>
    <hyperlink ref="F53" r:id="rId28" xr:uid="{F22C5DE6-4A80-4BD9-A810-803A016C51AB}"/>
    <hyperlink ref="F56" r:id="rId29" xr:uid="{B22A7655-4882-4346-8818-F52B53FA8A65}"/>
    <hyperlink ref="F57" r:id="rId30" xr:uid="{2DD78B9A-4C2B-4453-B7DE-1B6ECE65B90F}"/>
    <hyperlink ref="F62" r:id="rId31" xr:uid="{F99FE8D1-3F7E-4C3B-A6B5-A27B462571D4}"/>
    <hyperlink ref="F64" r:id="rId32" xr:uid="{28DA65F0-4B24-4601-B9F7-EE3F5C2804FC}"/>
    <hyperlink ref="F65" r:id="rId33" xr:uid="{66A6762D-0FF8-4F38-A00C-1C0F7512DD89}"/>
    <hyperlink ref="F76" r:id="rId34" xr:uid="{89507EB9-ADC5-44D1-B725-0FD79BCD11D4}"/>
    <hyperlink ref="F77" r:id="rId35" xr:uid="{599A3AEE-96A0-4D03-B024-670A6EA34224}"/>
    <hyperlink ref="F78" r:id="rId36" xr:uid="{6A410B7B-A445-44CA-85DF-001A67F90DBA}"/>
    <hyperlink ref="F81" r:id="rId37" xr:uid="{AE7A7C80-DE04-4B8F-8F58-46F7A8F629A3}"/>
    <hyperlink ref="F82" r:id="rId38" xr:uid="{7526980D-31B2-4C59-9FF7-2C1DD5C661B4}"/>
    <hyperlink ref="F71" r:id="rId39" xr:uid="{A8A8C21D-19CB-44A7-967D-72FFFAD86075}"/>
    <hyperlink ref="F72" r:id="rId40" xr:uid="{B2823A83-2458-4C30-BE59-0D41E628D2C7}"/>
    <hyperlink ref="F73" r:id="rId41" xr:uid="{866F7438-5A74-434C-9AE3-928FF692854B}"/>
    <hyperlink ref="F89" r:id="rId42" xr:uid="{FAA2CD1C-AB8A-40B9-831F-4B5726091EEF}"/>
    <hyperlink ref="F100" r:id="rId43" xr:uid="{A5380EED-77C1-4B7F-897D-6A0C6532A15D}"/>
    <hyperlink ref="F101" r:id="rId44" xr:uid="{5217A86B-CD42-415A-B557-59080E761037}"/>
    <hyperlink ref="F109" r:id="rId45" xr:uid="{F495EF2E-694B-4AE1-9105-C6A6665A1C9E}"/>
    <hyperlink ref="F110" r:id="rId46" xr:uid="{029C761D-FA37-4C6D-A411-0F359EE9C230}"/>
    <hyperlink ref="F111" r:id="rId47" xr:uid="{4DDD73E8-9DCA-47CA-929C-BB1EB30B1D3B}"/>
    <hyperlink ref="F112" r:id="rId48" xr:uid="{6C5C3E78-0A32-45C4-A601-310E79A9674E}"/>
    <hyperlink ref="F115" r:id="rId49" xr:uid="{68833C04-BF5F-4AE9-B2BC-685B27661221}"/>
    <hyperlink ref="F116" r:id="rId50" xr:uid="{39840C0B-C89C-42B6-93C7-244852950C76}"/>
    <hyperlink ref="F117" r:id="rId51" xr:uid="{F7651667-041E-42FC-B4DD-C6CE26468AC2}"/>
    <hyperlink ref="F118" r:id="rId52" xr:uid="{061432B2-E669-4579-BD16-4492726B6A6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A979-3C8D-468F-9278-3314706E1E9E}">
  <dimension ref="A1:Q122"/>
  <sheetViews>
    <sheetView topLeftCell="A20" workbookViewId="0">
      <selection activeCell="E117" sqref="E117"/>
    </sheetView>
  </sheetViews>
  <sheetFormatPr defaultRowHeight="14.6" x14ac:dyDescent="0.4"/>
  <cols>
    <col min="1" max="1" width="18.84375" customWidth="1"/>
    <col min="2" max="2" width="17.15234375" customWidth="1"/>
    <col min="3" max="3" width="9.3828125" customWidth="1"/>
    <col min="4" max="4" width="13.15234375" customWidth="1"/>
    <col min="5" max="5" width="11.53515625" customWidth="1"/>
  </cols>
  <sheetData>
    <row r="1" spans="1:17" x14ac:dyDescent="0.4">
      <c r="A1" s="6" t="s">
        <v>0</v>
      </c>
      <c r="B1" s="7" t="s">
        <v>195</v>
      </c>
      <c r="C1" s="16" t="s">
        <v>196</v>
      </c>
      <c r="D1" s="6" t="s">
        <v>197</v>
      </c>
      <c r="E1" s="16" t="s">
        <v>198</v>
      </c>
      <c r="F1" s="6" t="s">
        <v>8</v>
      </c>
      <c r="G1" s="6"/>
      <c r="H1" s="6"/>
      <c r="I1" s="6"/>
      <c r="J1" s="6"/>
      <c r="K1" s="6"/>
      <c r="L1" s="6"/>
      <c r="M1" s="6"/>
      <c r="N1" s="6"/>
      <c r="O1" s="6"/>
      <c r="P1" s="1"/>
      <c r="Q1" s="1"/>
    </row>
    <row r="2" spans="1:17" x14ac:dyDescent="0.4">
      <c r="A2" s="1"/>
      <c r="C2" s="15"/>
      <c r="E2" s="15"/>
    </row>
    <row r="3" spans="1:17" x14ac:dyDescent="0.4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7">
        <v>6</v>
      </c>
    </row>
    <row r="4" spans="1:17" x14ac:dyDescent="0.4">
      <c r="A4" t="s">
        <v>11</v>
      </c>
      <c r="B4" t="s">
        <v>12</v>
      </c>
      <c r="C4" s="15">
        <v>2.29</v>
      </c>
      <c r="D4" t="s">
        <v>262</v>
      </c>
      <c r="E4" s="15">
        <v>2.29</v>
      </c>
      <c r="F4" s="14" t="s">
        <v>411</v>
      </c>
    </row>
    <row r="5" spans="1:17" x14ac:dyDescent="0.4">
      <c r="A5" t="s">
        <v>15</v>
      </c>
      <c r="B5" t="s">
        <v>16</v>
      </c>
      <c r="C5" s="15">
        <v>2.4900000000000002</v>
      </c>
      <c r="D5" t="s">
        <v>681</v>
      </c>
      <c r="E5" s="15">
        <v>2.4900000000000002</v>
      </c>
      <c r="F5" s="14" t="s">
        <v>682</v>
      </c>
    </row>
    <row r="6" spans="1:17" x14ac:dyDescent="0.4">
      <c r="A6" t="s">
        <v>203</v>
      </c>
      <c r="B6" t="s">
        <v>204</v>
      </c>
      <c r="C6" s="15">
        <v>5.29</v>
      </c>
      <c r="D6" t="s">
        <v>204</v>
      </c>
      <c r="E6" s="15">
        <v>5.29</v>
      </c>
      <c r="F6" s="14" t="s">
        <v>683</v>
      </c>
    </row>
    <row r="7" spans="1:17" x14ac:dyDescent="0.4">
      <c r="A7" t="s">
        <v>21</v>
      </c>
      <c r="B7" t="s">
        <v>22</v>
      </c>
      <c r="C7" s="15">
        <v>6.39</v>
      </c>
      <c r="D7" t="s">
        <v>684</v>
      </c>
      <c r="E7" s="15">
        <f>6.39*(2/33.8)</f>
        <v>0.37810650887573966</v>
      </c>
      <c r="F7" s="14" t="s">
        <v>685</v>
      </c>
    </row>
    <row r="8" spans="1:17" x14ac:dyDescent="0.4">
      <c r="A8" t="s">
        <v>26</v>
      </c>
      <c r="B8" t="s">
        <v>27</v>
      </c>
      <c r="C8" s="15">
        <v>2.19</v>
      </c>
      <c r="D8" t="s">
        <v>199</v>
      </c>
      <c r="E8" s="15">
        <f>2.19/15</f>
        <v>0.14599999999999999</v>
      </c>
      <c r="F8" s="14" t="s">
        <v>686</v>
      </c>
    </row>
    <row r="9" spans="1:17" x14ac:dyDescent="0.4">
      <c r="A9" t="s">
        <v>30</v>
      </c>
      <c r="B9" t="s">
        <v>22</v>
      </c>
      <c r="C9" s="15">
        <v>3.79</v>
      </c>
      <c r="D9" t="s">
        <v>205</v>
      </c>
      <c r="E9" s="15">
        <f>3.79*(2/16)</f>
        <v>0.47375</v>
      </c>
      <c r="F9" s="14" t="s">
        <v>687</v>
      </c>
    </row>
    <row r="10" spans="1:17" x14ac:dyDescent="0.4">
      <c r="A10" t="s">
        <v>32</v>
      </c>
      <c r="B10" t="s">
        <v>33</v>
      </c>
      <c r="C10" s="15">
        <v>0.99</v>
      </c>
      <c r="D10" t="s">
        <v>223</v>
      </c>
      <c r="E10" s="15">
        <f>0.99/2</f>
        <v>0.495</v>
      </c>
      <c r="F10" s="14" t="s">
        <v>688</v>
      </c>
    </row>
    <row r="11" spans="1:17" x14ac:dyDescent="0.4">
      <c r="A11" s="1" t="s">
        <v>214</v>
      </c>
      <c r="C11" s="15">
        <f>SUM(C4:C10)</f>
        <v>23.43</v>
      </c>
      <c r="E11" s="15">
        <f>SUM(E4:E10)</f>
        <v>11.562856508875742</v>
      </c>
    </row>
    <row r="12" spans="1:17" x14ac:dyDescent="0.4">
      <c r="A12" s="11" t="s">
        <v>35</v>
      </c>
      <c r="C12" s="15"/>
      <c r="E12" s="15"/>
    </row>
    <row r="13" spans="1:17" x14ac:dyDescent="0.4">
      <c r="A13" s="11"/>
      <c r="C13" s="15"/>
      <c r="E13" s="15"/>
    </row>
    <row r="14" spans="1:17" x14ac:dyDescent="0.4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17">
        <v>1</v>
      </c>
    </row>
    <row r="15" spans="1:17" x14ac:dyDescent="0.4">
      <c r="A15" t="s">
        <v>37</v>
      </c>
      <c r="B15" t="s">
        <v>38</v>
      </c>
      <c r="C15" s="15">
        <v>4.8899999999999997</v>
      </c>
      <c r="D15" t="s">
        <v>215</v>
      </c>
      <c r="E15" s="15">
        <f>4.89*(8/42)</f>
        <v>0.93142857142857127</v>
      </c>
      <c r="F15" s="14" t="s">
        <v>689</v>
      </c>
    </row>
    <row r="16" spans="1:17" x14ac:dyDescent="0.4">
      <c r="A16" t="s">
        <v>41</v>
      </c>
      <c r="B16" t="s">
        <v>38</v>
      </c>
      <c r="C16" s="15">
        <v>5.99</v>
      </c>
      <c r="D16" t="s">
        <v>690</v>
      </c>
      <c r="E16" s="15">
        <f>5.99*(8/32)</f>
        <v>1.4975000000000001</v>
      </c>
      <c r="F16" s="14" t="s">
        <v>691</v>
      </c>
    </row>
    <row r="17" spans="1:15" x14ac:dyDescent="0.4">
      <c r="A17" t="s">
        <v>43</v>
      </c>
      <c r="B17" t="s">
        <v>44</v>
      </c>
      <c r="C17" s="15">
        <v>2.69</v>
      </c>
      <c r="D17" t="s">
        <v>692</v>
      </c>
      <c r="E17" s="15">
        <f>2.69*((1/3)/8)</f>
        <v>0.11208333333333333</v>
      </c>
      <c r="F17" s="14" t="s">
        <v>693</v>
      </c>
    </row>
    <row r="18" spans="1:15" x14ac:dyDescent="0.4">
      <c r="A18" t="s">
        <v>46</v>
      </c>
      <c r="B18" t="s">
        <v>47</v>
      </c>
      <c r="C18" s="15">
        <v>7.99</v>
      </c>
      <c r="D18" t="s">
        <v>205</v>
      </c>
      <c r="E18" s="15">
        <f>7.99*(2/48)</f>
        <v>0.33291666666666664</v>
      </c>
      <c r="F18" s="14" t="s">
        <v>694</v>
      </c>
    </row>
    <row r="19" spans="1:15" x14ac:dyDescent="0.4">
      <c r="A19" t="s">
        <v>222</v>
      </c>
      <c r="B19" t="s">
        <v>38</v>
      </c>
      <c r="C19" s="15">
        <v>3.49</v>
      </c>
      <c r="D19" t="s">
        <v>695</v>
      </c>
      <c r="E19" s="15">
        <f>3.49*(0.25/3)</f>
        <v>0.29083333333333333</v>
      </c>
      <c r="F19" s="14" t="s">
        <v>696</v>
      </c>
    </row>
    <row r="20" spans="1:15" x14ac:dyDescent="0.4">
      <c r="A20" t="s">
        <v>50</v>
      </c>
      <c r="B20" t="s">
        <v>47</v>
      </c>
      <c r="C20" s="15">
        <v>4.79</v>
      </c>
      <c r="D20" t="s">
        <v>201</v>
      </c>
      <c r="E20" s="15">
        <f>4.79*(2/72)</f>
        <v>0.13305555555555554</v>
      </c>
      <c r="F20" s="14" t="s">
        <v>697</v>
      </c>
    </row>
    <row r="21" spans="1:15" x14ac:dyDescent="0.4">
      <c r="A21" s="1" t="s">
        <v>214</v>
      </c>
      <c r="C21" s="15">
        <f>SUM(C15:C20)</f>
        <v>29.839999999999996</v>
      </c>
      <c r="E21" s="15">
        <f>SUM(E15:E20)</f>
        <v>3.2978174603174604</v>
      </c>
    </row>
    <row r="22" spans="1:15" x14ac:dyDescent="0.4">
      <c r="A22" s="12" t="s">
        <v>52</v>
      </c>
      <c r="C22" s="15"/>
      <c r="E22" s="15"/>
    </row>
    <row r="23" spans="1:15" x14ac:dyDescent="0.4">
      <c r="A23" s="10"/>
      <c r="C23" s="15"/>
      <c r="E23" s="15"/>
    </row>
    <row r="24" spans="1:15" x14ac:dyDescent="0.4">
      <c r="A24" s="29" t="s">
        <v>53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17">
        <v>4</v>
      </c>
    </row>
    <row r="25" spans="1:15" x14ac:dyDescent="0.4">
      <c r="A25" t="s">
        <v>54</v>
      </c>
      <c r="B25">
        <v>8</v>
      </c>
      <c r="C25" s="15">
        <v>4.6900000000000004</v>
      </c>
      <c r="D25">
        <v>8</v>
      </c>
      <c r="E25" s="15">
        <v>4.6900000000000004</v>
      </c>
      <c r="F25" s="14" t="s">
        <v>698</v>
      </c>
    </row>
    <row r="26" spans="1:15" x14ac:dyDescent="0.4">
      <c r="A26" t="s">
        <v>56</v>
      </c>
      <c r="B26" t="s">
        <v>57</v>
      </c>
      <c r="C26" s="15">
        <v>3.49</v>
      </c>
      <c r="D26" t="s">
        <v>433</v>
      </c>
      <c r="E26" s="15">
        <f>3.49*(1/32)</f>
        <v>0.10906250000000001</v>
      </c>
      <c r="F26" s="14" t="s">
        <v>699</v>
      </c>
    </row>
    <row r="27" spans="1:15" x14ac:dyDescent="0.4">
      <c r="A27" s="3" t="s">
        <v>60</v>
      </c>
      <c r="B27" t="s">
        <v>61</v>
      </c>
      <c r="C27" s="15">
        <v>12.77</v>
      </c>
      <c r="D27" t="s">
        <v>525</v>
      </c>
      <c r="E27" s="15">
        <f>12.77/2</f>
        <v>6.3849999999999998</v>
      </c>
      <c r="F27" s="14" t="s">
        <v>700</v>
      </c>
    </row>
    <row r="28" spans="1:15" x14ac:dyDescent="0.4">
      <c r="A28" t="s">
        <v>63</v>
      </c>
      <c r="B28" t="s">
        <v>64</v>
      </c>
      <c r="C28" s="15">
        <v>1.59</v>
      </c>
      <c r="D28" t="s">
        <v>64</v>
      </c>
      <c r="E28" s="15">
        <v>1.59</v>
      </c>
      <c r="F28" s="14" t="s">
        <v>701</v>
      </c>
    </row>
    <row r="29" spans="1:15" x14ac:dyDescent="0.4">
      <c r="A29" t="s">
        <v>66</v>
      </c>
      <c r="B29" t="s">
        <v>12</v>
      </c>
      <c r="C29" s="15">
        <v>1.99</v>
      </c>
      <c r="D29" t="s">
        <v>262</v>
      </c>
      <c r="E29" s="15">
        <v>1.99</v>
      </c>
      <c r="F29" s="14" t="s">
        <v>702</v>
      </c>
    </row>
    <row r="30" spans="1:15" x14ac:dyDescent="0.4">
      <c r="A30" t="s">
        <v>26</v>
      </c>
      <c r="B30" t="s">
        <v>68</v>
      </c>
      <c r="C30" s="15">
        <v>2.19</v>
      </c>
      <c r="D30" t="s">
        <v>199</v>
      </c>
      <c r="E30" s="15">
        <f>2.19/15</f>
        <v>0.14599999999999999</v>
      </c>
      <c r="F30" t="s">
        <v>69</v>
      </c>
    </row>
    <row r="31" spans="1:15" x14ac:dyDescent="0.4">
      <c r="A31" t="s">
        <v>70</v>
      </c>
      <c r="B31" t="s">
        <v>229</v>
      </c>
      <c r="C31" s="15">
        <v>6.39</v>
      </c>
      <c r="D31" t="s">
        <v>684</v>
      </c>
      <c r="E31" s="15">
        <f>6.39*(1/33.8)</f>
        <v>0.18905325443786983</v>
      </c>
      <c r="F31" t="s">
        <v>69</v>
      </c>
    </row>
    <row r="32" spans="1:15" x14ac:dyDescent="0.4">
      <c r="A32" s="1" t="s">
        <v>214</v>
      </c>
      <c r="C32" s="15">
        <f>SUM(C25:C31)</f>
        <v>33.11</v>
      </c>
      <c r="E32" s="15">
        <f>SUM(E25:E31)</f>
        <v>15.09911575443787</v>
      </c>
    </row>
    <row r="33" spans="1:15" x14ac:dyDescent="0.4">
      <c r="A33" s="11" t="s">
        <v>71</v>
      </c>
      <c r="C33" s="15"/>
      <c r="E33" s="15"/>
    </row>
    <row r="34" spans="1:15" x14ac:dyDescent="0.4">
      <c r="A34" s="1"/>
      <c r="C34" s="15"/>
      <c r="E34" s="15"/>
    </row>
    <row r="35" spans="1:15" x14ac:dyDescent="0.4">
      <c r="A35" s="29" t="s">
        <v>72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17">
        <v>6</v>
      </c>
    </row>
    <row r="36" spans="1:15" x14ac:dyDescent="0.4">
      <c r="A36" s="3" t="s">
        <v>73</v>
      </c>
      <c r="B36" t="s">
        <v>74</v>
      </c>
      <c r="C36" s="19">
        <v>7.99</v>
      </c>
      <c r="D36" s="20" t="s">
        <v>149</v>
      </c>
      <c r="E36" s="19">
        <v>7.99</v>
      </c>
      <c r="F36" s="14" t="s">
        <v>703</v>
      </c>
      <c r="G36" s="2"/>
      <c r="H36" s="2"/>
      <c r="I36" s="2"/>
      <c r="J36" s="2"/>
      <c r="K36" s="2"/>
      <c r="L36" s="2"/>
      <c r="M36" s="2"/>
      <c r="N36" s="2"/>
    </row>
    <row r="37" spans="1:15" x14ac:dyDescent="0.4">
      <c r="A37" s="3" t="s">
        <v>76</v>
      </c>
      <c r="B37" s="18">
        <v>1</v>
      </c>
      <c r="C37" s="19">
        <v>0.89</v>
      </c>
      <c r="D37" s="20">
        <v>1</v>
      </c>
      <c r="E37" s="19">
        <v>0.89</v>
      </c>
      <c r="F37" s="14" t="s">
        <v>704</v>
      </c>
      <c r="G37" s="19"/>
      <c r="H37" s="14"/>
      <c r="I37" s="2"/>
      <c r="J37" s="2"/>
      <c r="K37" s="2"/>
      <c r="L37" s="2"/>
      <c r="M37" s="2"/>
      <c r="N37" s="2"/>
    </row>
    <row r="38" spans="1:15" x14ac:dyDescent="0.4">
      <c r="A38" t="s">
        <v>79</v>
      </c>
      <c r="B38" t="s">
        <v>64</v>
      </c>
      <c r="C38" s="19">
        <v>3.79</v>
      </c>
      <c r="D38" s="20" t="s">
        <v>64</v>
      </c>
      <c r="E38" s="19">
        <v>3.79</v>
      </c>
      <c r="F38" s="14" t="s">
        <v>705</v>
      </c>
      <c r="G38" s="2"/>
      <c r="H38" s="2"/>
      <c r="I38" s="2"/>
      <c r="J38" s="2"/>
      <c r="K38" s="2"/>
      <c r="L38" s="2"/>
      <c r="M38" s="2"/>
      <c r="N38" s="2"/>
    </row>
    <row r="39" spans="1:15" x14ac:dyDescent="0.4">
      <c r="A39" t="s">
        <v>82</v>
      </c>
      <c r="B39" t="s">
        <v>83</v>
      </c>
      <c r="C39" s="19">
        <v>0.99</v>
      </c>
      <c r="D39" s="20" t="s">
        <v>83</v>
      </c>
      <c r="E39" s="19">
        <v>0.99</v>
      </c>
      <c r="F39" s="14" t="s">
        <v>706</v>
      </c>
      <c r="G39" s="2"/>
      <c r="H39" s="2"/>
      <c r="I39" s="2"/>
      <c r="J39" s="2"/>
      <c r="K39" s="2"/>
      <c r="L39" s="2"/>
      <c r="M39" s="2"/>
      <c r="N39" s="2"/>
    </row>
    <row r="40" spans="1:15" x14ac:dyDescent="0.4">
      <c r="A40" t="s">
        <v>230</v>
      </c>
      <c r="B40" t="s">
        <v>64</v>
      </c>
      <c r="C40" s="15">
        <v>1.49</v>
      </c>
      <c r="D40" t="s">
        <v>64</v>
      </c>
      <c r="E40" s="15">
        <v>1.49</v>
      </c>
      <c r="F40" s="14" t="s">
        <v>707</v>
      </c>
    </row>
    <row r="41" spans="1:15" x14ac:dyDescent="0.4">
      <c r="A41" t="s">
        <v>89</v>
      </c>
      <c r="B41" t="s">
        <v>64</v>
      </c>
      <c r="C41" s="15">
        <v>0.99</v>
      </c>
      <c r="D41" t="s">
        <v>64</v>
      </c>
      <c r="E41" s="15">
        <v>0.99</v>
      </c>
      <c r="F41" s="14" t="s">
        <v>708</v>
      </c>
    </row>
    <row r="42" spans="1:15" x14ac:dyDescent="0.4">
      <c r="A42" t="s">
        <v>26</v>
      </c>
      <c r="B42" t="s">
        <v>91</v>
      </c>
      <c r="C42" s="15">
        <v>2.19</v>
      </c>
      <c r="D42" t="s">
        <v>199</v>
      </c>
      <c r="E42" s="15">
        <f>2.19/15</f>
        <v>0.14599999999999999</v>
      </c>
      <c r="F42" t="s">
        <v>69</v>
      </c>
    </row>
    <row r="43" spans="1:15" x14ac:dyDescent="0.4">
      <c r="A43" t="s">
        <v>66</v>
      </c>
      <c r="B43" t="s">
        <v>92</v>
      </c>
      <c r="C43" s="15">
        <f>1.99*2</f>
        <v>3.98</v>
      </c>
      <c r="D43" t="s">
        <v>709</v>
      </c>
      <c r="E43" s="15">
        <f>1.99*1.5</f>
        <v>2.9849999999999999</v>
      </c>
      <c r="F43" t="s">
        <v>69</v>
      </c>
    </row>
    <row r="44" spans="1:15" x14ac:dyDescent="0.4">
      <c r="A44" t="s">
        <v>93</v>
      </c>
      <c r="B44" t="s">
        <v>94</v>
      </c>
      <c r="C44" s="15">
        <v>4.6900000000000004</v>
      </c>
      <c r="D44" t="s">
        <v>262</v>
      </c>
      <c r="E44" s="15">
        <f>4.69/2</f>
        <v>2.3450000000000002</v>
      </c>
      <c r="F44" s="14" t="s">
        <v>710</v>
      </c>
    </row>
    <row r="45" spans="1:15" x14ac:dyDescent="0.4">
      <c r="A45" t="s">
        <v>96</v>
      </c>
      <c r="B45" t="s">
        <v>231</v>
      </c>
      <c r="C45" s="15">
        <v>1.99</v>
      </c>
      <c r="D45" t="s">
        <v>711</v>
      </c>
      <c r="E45" s="15">
        <f>1.99/2</f>
        <v>0.995</v>
      </c>
      <c r="F45" s="14" t="s">
        <v>712</v>
      </c>
    </row>
    <row r="46" spans="1:15" x14ac:dyDescent="0.4">
      <c r="A46" s="1" t="s">
        <v>214</v>
      </c>
      <c r="C46" s="15">
        <f>SUM(C36:C45)</f>
        <v>28.990000000000002</v>
      </c>
      <c r="E46" s="15">
        <f>SUM(E36:E45)</f>
        <v>22.611000000000001</v>
      </c>
    </row>
    <row r="47" spans="1:15" x14ac:dyDescent="0.4">
      <c r="A47" s="11" t="s">
        <v>71</v>
      </c>
      <c r="C47" s="15"/>
      <c r="E47" s="15"/>
    </row>
    <row r="48" spans="1:15" x14ac:dyDescent="0.4">
      <c r="C48" s="15"/>
      <c r="E48" s="15"/>
    </row>
    <row r="49" spans="1:15" x14ac:dyDescent="0.4">
      <c r="A49" s="29" t="s">
        <v>99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17">
        <v>4</v>
      </c>
    </row>
    <row r="50" spans="1:15" x14ac:dyDescent="0.4">
      <c r="A50" t="s">
        <v>100</v>
      </c>
      <c r="B50" t="s">
        <v>101</v>
      </c>
      <c r="C50" s="15">
        <v>2.4900000000000002</v>
      </c>
      <c r="D50" t="s">
        <v>713</v>
      </c>
      <c r="E50" s="15">
        <f>2.49*(2/17.5)</f>
        <v>0.28457142857142859</v>
      </c>
      <c r="F50" s="14" t="s">
        <v>714</v>
      </c>
    </row>
    <row r="51" spans="1:15" x14ac:dyDescent="0.4">
      <c r="A51" t="s">
        <v>103</v>
      </c>
      <c r="B51" t="s">
        <v>104</v>
      </c>
      <c r="C51" s="15">
        <v>3.19</v>
      </c>
      <c r="D51" t="s">
        <v>715</v>
      </c>
      <c r="E51" s="15">
        <f>3.19/77</f>
        <v>4.1428571428571426E-2</v>
      </c>
      <c r="F51" s="14" t="s">
        <v>716</v>
      </c>
    </row>
    <row r="52" spans="1:15" x14ac:dyDescent="0.4">
      <c r="A52" s="3" t="s">
        <v>106</v>
      </c>
      <c r="B52" t="s">
        <v>47</v>
      </c>
      <c r="C52" s="15">
        <v>2.69</v>
      </c>
      <c r="D52" t="s">
        <v>717</v>
      </c>
      <c r="E52" s="15">
        <f>2.69/24</f>
        <v>0.11208333333333333</v>
      </c>
      <c r="F52" s="14" t="s">
        <v>718</v>
      </c>
    </row>
    <row r="53" spans="1:15" x14ac:dyDescent="0.4">
      <c r="A53" s="3" t="s">
        <v>108</v>
      </c>
      <c r="B53" t="s">
        <v>109</v>
      </c>
      <c r="C53" s="15">
        <v>1.59</v>
      </c>
      <c r="D53" t="s">
        <v>719</v>
      </c>
      <c r="E53" s="15">
        <f>1.59*(0.5/95)</f>
        <v>8.3684210526315788E-3</v>
      </c>
      <c r="F53" s="14" t="s">
        <v>720</v>
      </c>
    </row>
    <row r="54" spans="1:15" x14ac:dyDescent="0.4">
      <c r="A54" t="s">
        <v>111</v>
      </c>
      <c r="B54" t="s">
        <v>109</v>
      </c>
      <c r="C54" s="15">
        <v>2.19</v>
      </c>
      <c r="D54" t="s">
        <v>199</v>
      </c>
      <c r="E54" s="15">
        <f>2.19/15</f>
        <v>0.14599999999999999</v>
      </c>
      <c r="F54" t="s">
        <v>69</v>
      </c>
    </row>
    <row r="55" spans="1:15" x14ac:dyDescent="0.4">
      <c r="A55" t="s">
        <v>721</v>
      </c>
      <c r="B55" t="s">
        <v>114</v>
      </c>
      <c r="C55" s="15">
        <v>2.69</v>
      </c>
      <c r="D55" t="s">
        <v>722</v>
      </c>
      <c r="E55" s="15">
        <f>2.69*(2.25/8)</f>
        <v>0.75656250000000003</v>
      </c>
      <c r="F55" s="14" t="s">
        <v>693</v>
      </c>
    </row>
    <row r="56" spans="1:15" x14ac:dyDescent="0.4">
      <c r="A56" t="s">
        <v>116</v>
      </c>
      <c r="B56">
        <v>2</v>
      </c>
      <c r="C56" s="15">
        <v>2.99</v>
      </c>
      <c r="D56" t="s">
        <v>553</v>
      </c>
      <c r="E56" s="15">
        <f>2.99/6</f>
        <v>0.49833333333333335</v>
      </c>
      <c r="F56" s="14" t="s">
        <v>723</v>
      </c>
    </row>
    <row r="57" spans="1:15" x14ac:dyDescent="0.4">
      <c r="A57" t="s">
        <v>118</v>
      </c>
      <c r="B57" t="s">
        <v>119</v>
      </c>
      <c r="C57" s="15">
        <v>2.79</v>
      </c>
      <c r="D57" t="s">
        <v>724</v>
      </c>
      <c r="E57" s="15">
        <f>2.79*(4/48)</f>
        <v>0.23249999999999998</v>
      </c>
      <c r="F57" s="14" t="s">
        <v>725</v>
      </c>
    </row>
    <row r="58" spans="1:15" x14ac:dyDescent="0.4">
      <c r="A58" s="1" t="s">
        <v>214</v>
      </c>
      <c r="C58" s="15">
        <f>SUM(C50:C57)</f>
        <v>20.619999999999997</v>
      </c>
      <c r="E58" s="15">
        <f>SUM(E50:E57)</f>
        <v>2.0798475877192981</v>
      </c>
    </row>
    <row r="59" spans="1:15" x14ac:dyDescent="0.4">
      <c r="A59" s="13" t="s">
        <v>121</v>
      </c>
      <c r="C59" s="15"/>
      <c r="E59" s="15"/>
    </row>
    <row r="60" spans="1:15" x14ac:dyDescent="0.4">
      <c r="A60" s="11"/>
      <c r="C60" s="15"/>
      <c r="E60" s="15"/>
    </row>
    <row r="61" spans="1:15" x14ac:dyDescent="0.4">
      <c r="A61" s="29" t="s">
        <v>122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17">
        <v>2</v>
      </c>
    </row>
    <row r="62" spans="1:15" x14ac:dyDescent="0.4">
      <c r="A62" t="s">
        <v>123</v>
      </c>
      <c r="B62" t="s">
        <v>124</v>
      </c>
      <c r="C62" s="15">
        <v>2.99</v>
      </c>
      <c r="D62" t="s">
        <v>476</v>
      </c>
      <c r="E62" s="15">
        <f>2.99*(3/5)</f>
        <v>1.794</v>
      </c>
      <c r="F62" s="14" t="s">
        <v>726</v>
      </c>
    </row>
    <row r="63" spans="1:15" x14ac:dyDescent="0.4">
      <c r="A63" t="s">
        <v>126</v>
      </c>
      <c r="B63" t="s">
        <v>127</v>
      </c>
      <c r="C63" s="15">
        <v>12.77</v>
      </c>
      <c r="D63" t="s">
        <v>525</v>
      </c>
      <c r="E63" s="15">
        <f>12.77/4</f>
        <v>3.1924999999999999</v>
      </c>
      <c r="F63" t="s">
        <v>69</v>
      </c>
    </row>
    <row r="64" spans="1:15" x14ac:dyDescent="0.4">
      <c r="A64" t="s">
        <v>134</v>
      </c>
      <c r="B64" t="s">
        <v>38</v>
      </c>
      <c r="C64" s="15">
        <v>1.99</v>
      </c>
      <c r="D64" t="s">
        <v>233</v>
      </c>
      <c r="E64" s="15">
        <f>1.99*(2/6)</f>
        <v>0.66333333333333333</v>
      </c>
      <c r="F64" s="14" t="s">
        <v>727</v>
      </c>
    </row>
    <row r="65" spans="1:15" x14ac:dyDescent="0.4">
      <c r="A65" s="3" t="s">
        <v>137</v>
      </c>
      <c r="B65" t="s">
        <v>138</v>
      </c>
      <c r="C65" s="15">
        <v>2.29</v>
      </c>
      <c r="D65" t="s">
        <v>728</v>
      </c>
      <c r="E65" s="15">
        <f>2.29/10</f>
        <v>0.22900000000000001</v>
      </c>
      <c r="F65" s="14" t="s">
        <v>729</v>
      </c>
    </row>
    <row r="66" spans="1:15" x14ac:dyDescent="0.4">
      <c r="A66" t="s">
        <v>140</v>
      </c>
      <c r="B66" t="s">
        <v>22</v>
      </c>
      <c r="C66" s="15">
        <v>3.69</v>
      </c>
      <c r="D66" t="s">
        <v>730</v>
      </c>
      <c r="E66" s="15">
        <f>3.69/16</f>
        <v>0.230625</v>
      </c>
      <c r="F66" s="14" t="s">
        <v>731</v>
      </c>
    </row>
    <row r="67" spans="1:15" x14ac:dyDescent="0.4">
      <c r="A67" s="1" t="s">
        <v>214</v>
      </c>
      <c r="C67" s="15">
        <f>SUM(C61:C66)</f>
        <v>23.73</v>
      </c>
      <c r="E67" s="15">
        <f>SUM(E61:E66)</f>
        <v>6.1094583333333325</v>
      </c>
    </row>
    <row r="68" spans="1:15" x14ac:dyDescent="0.4">
      <c r="A68" s="13" t="s">
        <v>142</v>
      </c>
      <c r="C68" s="15"/>
      <c r="E68" s="15"/>
    </row>
    <row r="69" spans="1:15" x14ac:dyDescent="0.4">
      <c r="A69" s="11"/>
      <c r="C69" s="15"/>
      <c r="E69" s="15"/>
    </row>
    <row r="70" spans="1:15" x14ac:dyDescent="0.4">
      <c r="A70" s="29" t="s">
        <v>143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17">
        <v>4</v>
      </c>
    </row>
    <row r="71" spans="1:15" x14ac:dyDescent="0.4">
      <c r="A71" t="s">
        <v>144</v>
      </c>
      <c r="B71">
        <v>3</v>
      </c>
      <c r="C71" s="15">
        <v>2.69</v>
      </c>
      <c r="D71">
        <v>3</v>
      </c>
      <c r="E71" s="15">
        <v>2.69</v>
      </c>
      <c r="F71" s="14" t="s">
        <v>732</v>
      </c>
    </row>
    <row r="72" spans="1:15" x14ac:dyDescent="0.4">
      <c r="A72" t="s">
        <v>145</v>
      </c>
      <c r="B72">
        <v>1</v>
      </c>
      <c r="C72" s="15">
        <v>0.89</v>
      </c>
      <c r="D72">
        <v>1</v>
      </c>
      <c r="E72" s="15">
        <f>0.89</f>
        <v>0.89</v>
      </c>
      <c r="F72" s="14" t="s">
        <v>733</v>
      </c>
    </row>
    <row r="73" spans="1:15" x14ac:dyDescent="0.4">
      <c r="A73" t="s">
        <v>146</v>
      </c>
      <c r="B73">
        <v>1</v>
      </c>
      <c r="C73" s="15">
        <v>3.79</v>
      </c>
      <c r="D73" t="s">
        <v>64</v>
      </c>
      <c r="E73" s="15">
        <v>3.79</v>
      </c>
      <c r="F73" s="14" t="s">
        <v>734</v>
      </c>
    </row>
    <row r="74" spans="1:15" x14ac:dyDescent="0.4">
      <c r="A74" t="s">
        <v>147</v>
      </c>
      <c r="B74" t="s">
        <v>148</v>
      </c>
      <c r="C74" s="15">
        <v>6.39</v>
      </c>
      <c r="D74" t="s">
        <v>684</v>
      </c>
      <c r="E74" s="15">
        <f>6.39*(1/33.8)</f>
        <v>0.18905325443786983</v>
      </c>
      <c r="F74" t="s">
        <v>69</v>
      </c>
    </row>
    <row r="75" spans="1:15" x14ac:dyDescent="0.4">
      <c r="A75" t="s">
        <v>73</v>
      </c>
      <c r="B75" t="s">
        <v>149</v>
      </c>
      <c r="C75" s="19">
        <v>7.99</v>
      </c>
      <c r="D75" s="20" t="s">
        <v>149</v>
      </c>
      <c r="E75" s="19">
        <v>7.99</v>
      </c>
      <c r="F75" t="s">
        <v>69</v>
      </c>
    </row>
    <row r="76" spans="1:15" x14ac:dyDescent="0.4">
      <c r="A76" t="s">
        <v>150</v>
      </c>
      <c r="B76" t="s">
        <v>101</v>
      </c>
      <c r="C76" s="15">
        <v>1.79</v>
      </c>
      <c r="D76" t="s">
        <v>735</v>
      </c>
      <c r="E76" s="15">
        <f>1.79/2</f>
        <v>0.89500000000000002</v>
      </c>
      <c r="F76" s="14" t="s">
        <v>736</v>
      </c>
    </row>
    <row r="77" spans="1:15" x14ac:dyDescent="0.4">
      <c r="A77" t="s">
        <v>151</v>
      </c>
      <c r="B77" t="s">
        <v>17</v>
      </c>
      <c r="C77" s="15">
        <v>1.89</v>
      </c>
      <c r="D77" t="s">
        <v>735</v>
      </c>
      <c r="E77" s="15">
        <f>1.89/4</f>
        <v>0.47249999999999998</v>
      </c>
      <c r="F77" s="14" t="s">
        <v>737</v>
      </c>
    </row>
    <row r="78" spans="1:15" x14ac:dyDescent="0.4">
      <c r="A78" t="s">
        <v>152</v>
      </c>
      <c r="B78" t="s">
        <v>68</v>
      </c>
      <c r="C78" s="15">
        <v>1.19</v>
      </c>
      <c r="D78" t="s">
        <v>738</v>
      </c>
      <c r="E78" s="15">
        <f>1.19/12</f>
        <v>9.9166666666666667E-2</v>
      </c>
      <c r="F78" s="14" t="s">
        <v>739</v>
      </c>
    </row>
    <row r="79" spans="1:15" x14ac:dyDescent="0.4">
      <c r="A79" t="s">
        <v>111</v>
      </c>
      <c r="B79" t="s">
        <v>68</v>
      </c>
      <c r="C79" s="15">
        <v>2.19</v>
      </c>
      <c r="D79" t="s">
        <v>199</v>
      </c>
      <c r="E79" s="15">
        <f>2.19/15</f>
        <v>0.14599999999999999</v>
      </c>
      <c r="F79" t="s">
        <v>69</v>
      </c>
    </row>
    <row r="80" spans="1:15" x14ac:dyDescent="0.4">
      <c r="A80" t="s">
        <v>153</v>
      </c>
      <c r="B80" t="s">
        <v>148</v>
      </c>
      <c r="C80" s="15">
        <v>3.79</v>
      </c>
      <c r="D80" t="s">
        <v>205</v>
      </c>
      <c r="E80" s="15">
        <f>3.79*(1/16)</f>
        <v>0.236875</v>
      </c>
      <c r="F80" t="s">
        <v>69</v>
      </c>
    </row>
    <row r="81" spans="1:15" x14ac:dyDescent="0.4">
      <c r="A81" t="s">
        <v>154</v>
      </c>
      <c r="B81" t="s">
        <v>68</v>
      </c>
      <c r="C81" s="15">
        <v>1.19</v>
      </c>
      <c r="D81" t="s">
        <v>738</v>
      </c>
      <c r="E81" s="15">
        <f>1.19/12</f>
        <v>9.9166666666666667E-2</v>
      </c>
      <c r="F81" s="14" t="s">
        <v>740</v>
      </c>
    </row>
    <row r="82" spans="1:15" x14ac:dyDescent="0.4">
      <c r="A82" t="s">
        <v>155</v>
      </c>
      <c r="B82" t="s">
        <v>68</v>
      </c>
      <c r="C82" s="15">
        <v>1.19</v>
      </c>
      <c r="D82" t="s">
        <v>741</v>
      </c>
      <c r="E82" s="15">
        <f>1.19/12</f>
        <v>9.9166666666666667E-2</v>
      </c>
      <c r="F82" s="14" t="s">
        <v>742</v>
      </c>
    </row>
    <row r="83" spans="1:15" x14ac:dyDescent="0.4">
      <c r="A83" s="1" t="s">
        <v>214</v>
      </c>
      <c r="C83" s="15">
        <f>SUM(C71:C82)</f>
        <v>34.979999999999997</v>
      </c>
      <c r="E83" s="15">
        <f>SUM(E71:E82)</f>
        <v>17.59692825443787</v>
      </c>
    </row>
    <row r="84" spans="1:15" x14ac:dyDescent="0.4">
      <c r="A84" s="11" t="s">
        <v>71</v>
      </c>
      <c r="C84" s="15"/>
      <c r="E84" s="15"/>
    </row>
    <row r="85" spans="1:15" x14ac:dyDescent="0.4">
      <c r="C85" s="15"/>
      <c r="E85" s="15"/>
    </row>
    <row r="86" spans="1:15" x14ac:dyDescent="0.4">
      <c r="A86" s="29" t="s">
        <v>156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17">
        <v>4</v>
      </c>
    </row>
    <row r="87" spans="1:15" x14ac:dyDescent="0.4">
      <c r="A87" t="s">
        <v>73</v>
      </c>
      <c r="B87" t="s">
        <v>149</v>
      </c>
      <c r="C87" s="19">
        <v>7.99</v>
      </c>
      <c r="D87" s="20" t="s">
        <v>149</v>
      </c>
      <c r="E87" s="19">
        <v>7.99</v>
      </c>
      <c r="F87" t="s">
        <v>69</v>
      </c>
    </row>
    <row r="88" spans="1:15" x14ac:dyDescent="0.4">
      <c r="A88" t="s">
        <v>145</v>
      </c>
      <c r="B88" s="9">
        <v>0.5</v>
      </c>
      <c r="C88" s="15">
        <v>0.89</v>
      </c>
      <c r="D88">
        <v>1</v>
      </c>
      <c r="E88" s="15">
        <f>0.89/2</f>
        <v>0.44500000000000001</v>
      </c>
      <c r="F88" t="s">
        <v>69</v>
      </c>
    </row>
    <row r="89" spans="1:15" x14ac:dyDescent="0.4">
      <c r="A89" t="s">
        <v>157</v>
      </c>
      <c r="B89" s="8" t="s">
        <v>17</v>
      </c>
      <c r="C89" s="15">
        <v>2.79</v>
      </c>
      <c r="D89" t="s">
        <v>743</v>
      </c>
      <c r="E89" s="15">
        <f>2.79*(1/3.25)</f>
        <v>0.8584615384615385</v>
      </c>
      <c r="F89" s="14" t="s">
        <v>744</v>
      </c>
    </row>
    <row r="90" spans="1:15" x14ac:dyDescent="0.4">
      <c r="A90" t="s">
        <v>158</v>
      </c>
      <c r="B90">
        <v>1</v>
      </c>
      <c r="C90" s="15">
        <v>2.99</v>
      </c>
      <c r="D90" t="s">
        <v>553</v>
      </c>
      <c r="E90" s="15">
        <f>2.99/12</f>
        <v>0.24916666666666668</v>
      </c>
      <c r="F90" t="s">
        <v>69</v>
      </c>
    </row>
    <row r="91" spans="1:15" x14ac:dyDescent="0.4">
      <c r="A91" t="s">
        <v>232</v>
      </c>
      <c r="B91" t="s">
        <v>38</v>
      </c>
      <c r="C91" s="15">
        <v>2.69</v>
      </c>
      <c r="D91" t="s">
        <v>692</v>
      </c>
      <c r="E91" s="15">
        <f>2.69*((1/4)/8)</f>
        <v>8.4062499999999998E-2</v>
      </c>
      <c r="F91" t="s">
        <v>69</v>
      </c>
    </row>
    <row r="92" spans="1:15" x14ac:dyDescent="0.4">
      <c r="A92" t="s">
        <v>26</v>
      </c>
      <c r="B92" t="s">
        <v>68</v>
      </c>
      <c r="C92" s="15">
        <v>2.19</v>
      </c>
      <c r="D92" t="s">
        <v>199</v>
      </c>
      <c r="E92" s="15">
        <f>2.19/15</f>
        <v>0.14599999999999999</v>
      </c>
      <c r="F92" t="s">
        <v>69</v>
      </c>
    </row>
    <row r="93" spans="1:15" x14ac:dyDescent="0.4">
      <c r="A93" t="s">
        <v>147</v>
      </c>
      <c r="B93" t="s">
        <v>148</v>
      </c>
      <c r="C93" s="15">
        <v>6.39</v>
      </c>
      <c r="D93" t="s">
        <v>684</v>
      </c>
      <c r="E93" s="15">
        <f>6.39*(1/33.8)</f>
        <v>0.18905325443786983</v>
      </c>
      <c r="F93" t="s">
        <v>69</v>
      </c>
    </row>
    <row r="94" spans="1:15" x14ac:dyDescent="0.4">
      <c r="A94" s="1" t="s">
        <v>214</v>
      </c>
      <c r="C94" s="15">
        <f>SUM(C87:C93)</f>
        <v>25.930000000000003</v>
      </c>
      <c r="E94" s="15">
        <f>SUM(E87:E93)</f>
        <v>9.9617439595660766</v>
      </c>
    </row>
    <row r="95" spans="1:15" x14ac:dyDescent="0.4">
      <c r="A95" s="11" t="s">
        <v>71</v>
      </c>
      <c r="C95" s="15"/>
      <c r="E95" s="15"/>
    </row>
    <row r="96" spans="1:15" x14ac:dyDescent="0.4">
      <c r="C96" s="15"/>
      <c r="E96" s="15"/>
    </row>
    <row r="97" spans="1:15" x14ac:dyDescent="0.4">
      <c r="A97" s="29" t="s">
        <v>159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17">
        <v>4</v>
      </c>
    </row>
    <row r="98" spans="1:15" x14ac:dyDescent="0.4">
      <c r="A98" t="s">
        <v>73</v>
      </c>
      <c r="B98" t="s">
        <v>160</v>
      </c>
      <c r="C98" s="19">
        <v>7.99</v>
      </c>
      <c r="D98" s="20" t="s">
        <v>149</v>
      </c>
      <c r="E98" s="19">
        <f>7.99/2</f>
        <v>3.9950000000000001</v>
      </c>
      <c r="F98" t="s">
        <v>69</v>
      </c>
    </row>
    <row r="99" spans="1:15" x14ac:dyDescent="0.4">
      <c r="A99" t="s">
        <v>161</v>
      </c>
      <c r="B99" t="s">
        <v>17</v>
      </c>
      <c r="C99" s="15">
        <v>1.89</v>
      </c>
      <c r="D99" t="s">
        <v>735</v>
      </c>
      <c r="E99" s="15">
        <f>1.89/4</f>
        <v>0.47249999999999998</v>
      </c>
      <c r="F99" t="s">
        <v>69</v>
      </c>
    </row>
    <row r="100" spans="1:15" x14ac:dyDescent="0.4">
      <c r="A100" t="s">
        <v>162</v>
      </c>
      <c r="B100">
        <v>2</v>
      </c>
      <c r="C100" s="15">
        <f>0.59*2</f>
        <v>1.18</v>
      </c>
      <c r="D100">
        <v>2</v>
      </c>
      <c r="E100" s="15">
        <v>1.18</v>
      </c>
      <c r="F100" s="14" t="s">
        <v>745</v>
      </c>
    </row>
    <row r="101" spans="1:15" x14ac:dyDescent="0.4">
      <c r="A101" t="s">
        <v>163</v>
      </c>
      <c r="B101" t="s">
        <v>17</v>
      </c>
      <c r="C101" s="15">
        <v>1.99</v>
      </c>
      <c r="D101" t="s">
        <v>101</v>
      </c>
      <c r="E101" s="15">
        <f>1.99/2</f>
        <v>0.995</v>
      </c>
      <c r="F101" s="14" t="s">
        <v>746</v>
      </c>
    </row>
    <row r="102" spans="1:15" x14ac:dyDescent="0.4">
      <c r="A102" t="s">
        <v>158</v>
      </c>
      <c r="B102">
        <v>2</v>
      </c>
      <c r="C102" s="15">
        <v>2.99</v>
      </c>
      <c r="D102" t="s">
        <v>553</v>
      </c>
      <c r="E102" s="15">
        <f>2.99/6</f>
        <v>0.49833333333333335</v>
      </c>
      <c r="F102" t="s">
        <v>69</v>
      </c>
    </row>
    <row r="103" spans="1:15" x14ac:dyDescent="0.4">
      <c r="A103" t="s">
        <v>164</v>
      </c>
      <c r="B103">
        <v>4</v>
      </c>
      <c r="C103" s="15">
        <v>4.6900000000000004</v>
      </c>
      <c r="D103">
        <v>8</v>
      </c>
      <c r="E103" s="15">
        <f>4.69/2</f>
        <v>2.3450000000000002</v>
      </c>
      <c r="F103" t="s">
        <v>69</v>
      </c>
    </row>
    <row r="104" spans="1:15" x14ac:dyDescent="0.4">
      <c r="A104" t="s">
        <v>147</v>
      </c>
      <c r="B104" t="s">
        <v>22</v>
      </c>
      <c r="C104" s="15">
        <v>6.39</v>
      </c>
      <c r="D104" t="s">
        <v>684</v>
      </c>
      <c r="E104" s="15">
        <f>6.39*(2/33.8)</f>
        <v>0.37810650887573966</v>
      </c>
      <c r="F104" t="s">
        <v>69</v>
      </c>
    </row>
    <row r="105" spans="1:15" x14ac:dyDescent="0.4">
      <c r="A105" s="1" t="s">
        <v>214</v>
      </c>
      <c r="C105" s="15">
        <f>SUM(C98:C104)</f>
        <v>27.12</v>
      </c>
      <c r="E105" s="15">
        <f>SUM(E98:E104)</f>
        <v>9.8639398422090743</v>
      </c>
    </row>
    <row r="106" spans="1:15" x14ac:dyDescent="0.4">
      <c r="A106" s="11" t="s">
        <v>71</v>
      </c>
      <c r="C106" s="15"/>
      <c r="E106" s="15"/>
    </row>
    <row r="107" spans="1:15" x14ac:dyDescent="0.4">
      <c r="C107" s="15"/>
      <c r="E107" s="15"/>
    </row>
    <row r="108" spans="1:15" x14ac:dyDescent="0.4">
      <c r="A108" s="29" t="s">
        <v>165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17">
        <v>1</v>
      </c>
    </row>
    <row r="109" spans="1:15" x14ac:dyDescent="0.4">
      <c r="A109" t="s">
        <v>166</v>
      </c>
      <c r="B109" t="s">
        <v>167</v>
      </c>
      <c r="C109" s="15">
        <v>4.1900000000000004</v>
      </c>
      <c r="D109" t="s">
        <v>579</v>
      </c>
      <c r="E109" s="15">
        <f>4.19/10</f>
        <v>0.41900000000000004</v>
      </c>
      <c r="F109" s="14" t="s">
        <v>747</v>
      </c>
    </row>
    <row r="110" spans="1:15" x14ac:dyDescent="0.4">
      <c r="A110" t="s">
        <v>168</v>
      </c>
      <c r="B110" t="s">
        <v>169</v>
      </c>
      <c r="C110" s="15">
        <v>1.69</v>
      </c>
      <c r="D110" t="s">
        <v>277</v>
      </c>
      <c r="E110" s="15">
        <f>1.69/12</f>
        <v>0.14083333333333334</v>
      </c>
      <c r="F110" s="14" t="s">
        <v>748</v>
      </c>
    </row>
    <row r="111" spans="1:15" x14ac:dyDescent="0.4">
      <c r="A111" t="s">
        <v>170</v>
      </c>
      <c r="B111" t="s">
        <v>68</v>
      </c>
      <c r="C111" s="15">
        <v>4.29</v>
      </c>
      <c r="D111" t="s">
        <v>255</v>
      </c>
      <c r="E111" s="15">
        <f>4.29*(1/90)</f>
        <v>4.766666666666667E-2</v>
      </c>
      <c r="F111" s="14" t="s">
        <v>749</v>
      </c>
    </row>
    <row r="112" spans="1:15" x14ac:dyDescent="0.4">
      <c r="A112" t="s">
        <v>171</v>
      </c>
      <c r="B112" t="s">
        <v>172</v>
      </c>
      <c r="C112" s="15">
        <v>1.99</v>
      </c>
      <c r="D112" t="s">
        <v>201</v>
      </c>
      <c r="E112" s="15">
        <f>1.99*(1/72)</f>
        <v>2.7638888888888886E-2</v>
      </c>
      <c r="F112" s="14" t="s">
        <v>750</v>
      </c>
    </row>
    <row r="113" spans="1:6" x14ac:dyDescent="0.4">
      <c r="A113" t="s">
        <v>162</v>
      </c>
      <c r="B113" s="8" t="s">
        <v>173</v>
      </c>
      <c r="C113" s="15">
        <v>0.59</v>
      </c>
      <c r="D113">
        <v>1</v>
      </c>
      <c r="E113" s="15">
        <f>0.59/2</f>
        <v>0.29499999999999998</v>
      </c>
      <c r="F113" t="s">
        <v>69</v>
      </c>
    </row>
    <row r="114" spans="1:6" x14ac:dyDescent="0.4">
      <c r="A114" t="s">
        <v>174</v>
      </c>
      <c r="B114" t="s">
        <v>175</v>
      </c>
      <c r="C114" s="15">
        <v>2.99</v>
      </c>
      <c r="D114" t="s">
        <v>476</v>
      </c>
      <c r="E114" s="15">
        <f>2.99*(1/5)</f>
        <v>0.59800000000000009</v>
      </c>
      <c r="F114" t="s">
        <v>69</v>
      </c>
    </row>
    <row r="115" spans="1:6" x14ac:dyDescent="0.4">
      <c r="A115" t="s">
        <v>176</v>
      </c>
      <c r="B115" t="s">
        <v>167</v>
      </c>
      <c r="C115" s="15">
        <v>3.19</v>
      </c>
      <c r="D115" t="s">
        <v>751</v>
      </c>
      <c r="E115" s="15">
        <f>3.19*(2/16)</f>
        <v>0.39874999999999999</v>
      </c>
      <c r="F115" s="14" t="s">
        <v>752</v>
      </c>
    </row>
    <row r="116" spans="1:6" x14ac:dyDescent="0.4">
      <c r="A116" t="s">
        <v>177</v>
      </c>
      <c r="B116" t="s">
        <v>173</v>
      </c>
      <c r="C116" s="15">
        <v>0.99</v>
      </c>
      <c r="D116">
        <v>1</v>
      </c>
      <c r="E116" s="15">
        <f>0.99/2</f>
        <v>0.495</v>
      </c>
      <c r="F116" s="14" t="s">
        <v>753</v>
      </c>
    </row>
    <row r="117" spans="1:6" x14ac:dyDescent="0.4">
      <c r="A117" t="s">
        <v>178</v>
      </c>
      <c r="B117" t="s">
        <v>179</v>
      </c>
      <c r="C117" s="15">
        <v>0.89</v>
      </c>
      <c r="D117">
        <v>1</v>
      </c>
      <c r="E117" s="15">
        <f>0.89/4</f>
        <v>0.2225</v>
      </c>
      <c r="F117" s="14" t="s">
        <v>754</v>
      </c>
    </row>
    <row r="118" spans="1:6" x14ac:dyDescent="0.4">
      <c r="A118" t="s">
        <v>180</v>
      </c>
      <c r="B118" t="s">
        <v>38</v>
      </c>
      <c r="C118" s="15" t="s">
        <v>608</v>
      </c>
      <c r="D118" t="s">
        <v>608</v>
      </c>
      <c r="E118" s="15" t="s">
        <v>608</v>
      </c>
      <c r="F118" s="14" t="s">
        <v>608</v>
      </c>
    </row>
    <row r="119" spans="1:6" x14ac:dyDescent="0.4">
      <c r="A119" t="s">
        <v>26</v>
      </c>
      <c r="B119" t="s">
        <v>182</v>
      </c>
      <c r="C119" s="15">
        <v>2.19</v>
      </c>
      <c r="D119" t="s">
        <v>199</v>
      </c>
      <c r="E119" s="15">
        <f>2.19/15</f>
        <v>0.14599999999999999</v>
      </c>
      <c r="F119" t="s">
        <v>69</v>
      </c>
    </row>
    <row r="120" spans="1:6" x14ac:dyDescent="0.4">
      <c r="A120" s="1" t="s">
        <v>214</v>
      </c>
      <c r="C120" s="15">
        <f>SUM(C109:C119)</f>
        <v>23.000000000000004</v>
      </c>
      <c r="E120" s="15">
        <f>SUM(E109:E119)</f>
        <v>2.7903888888888888</v>
      </c>
    </row>
    <row r="121" spans="1:6" x14ac:dyDescent="0.4">
      <c r="A121" s="11" t="s">
        <v>71</v>
      </c>
      <c r="C121" s="15"/>
      <c r="E121" s="15"/>
    </row>
    <row r="122" spans="1:6" x14ac:dyDescent="0.4">
      <c r="C122" s="15"/>
      <c r="E122" s="15"/>
    </row>
  </sheetData>
  <mergeCells count="10">
    <mergeCell ref="A97:N97"/>
    <mergeCell ref="A108:N108"/>
    <mergeCell ref="A3:N3"/>
    <mergeCell ref="A14:N14"/>
    <mergeCell ref="A24:N24"/>
    <mergeCell ref="A35:N35"/>
    <mergeCell ref="A49:N49"/>
    <mergeCell ref="A61:N61"/>
    <mergeCell ref="A70:N70"/>
    <mergeCell ref="A86:N86"/>
  </mergeCells>
  <hyperlinks>
    <hyperlink ref="F4" r:id="rId1" location="lnk=sametab" xr:uid="{0305F5BE-1659-4792-BCA7-5F7A3380048A}"/>
    <hyperlink ref="F5" r:id="rId2" location="lnk=sametab" xr:uid="{E430DA3D-EA62-4A99-B72D-A6C894B0A74E}"/>
    <hyperlink ref="F6" r:id="rId3" location="lnk=sametab" xr:uid="{A8085656-B8A6-448E-986D-20561A4B080E}"/>
    <hyperlink ref="F7" r:id="rId4" location="lnk=sametab" xr:uid="{36E10619-8BEB-4CB8-9E7E-157B325A1D0B}"/>
    <hyperlink ref="F8" r:id="rId5" location="lnk=sametab" xr:uid="{FC1606ED-F4CF-4651-81B8-5FBD4C19B3BF}"/>
    <hyperlink ref="F9" r:id="rId6" location="lnk=sametab" xr:uid="{7BD3A099-4CD1-4060-B9A3-EA9A04F002A3}"/>
    <hyperlink ref="F10" r:id="rId7" location="lnk=sametab" xr:uid="{9CAE77D9-E491-4373-900E-B24746B35D34}"/>
    <hyperlink ref="F15" r:id="rId8" location="lnk=sametab" xr:uid="{B85CC5F2-0CA1-4185-A611-E60CEB220253}"/>
    <hyperlink ref="F16" r:id="rId9" location="lnk=sametab" xr:uid="{0515A0CB-6C61-4A46-9589-9A635A45ADF6}"/>
    <hyperlink ref="F17" r:id="rId10" location="lnk=sametab" xr:uid="{300A196A-6722-4CF4-A372-807962543122}"/>
    <hyperlink ref="F18" r:id="rId11" location="lnk=sametab" xr:uid="{C83F3656-0A1C-47FC-9226-17B0ADB119CF}"/>
    <hyperlink ref="F19" r:id="rId12" location="lnk=sametab" xr:uid="{DD67A287-9EE6-482E-B612-C4F05C22EA3E}"/>
    <hyperlink ref="F20" r:id="rId13" location="lnk=sametab" xr:uid="{49BDDB93-5BD6-42BB-BA99-660BCDFEB389}"/>
    <hyperlink ref="F25" r:id="rId14" location="lnk=sametab" xr:uid="{8E54C800-40CB-47A9-B11A-DF65CBD21C26}"/>
    <hyperlink ref="F26" r:id="rId15" location="lnk=sametab" xr:uid="{80373537-099A-46D9-AA3F-A362BD3F8419}"/>
    <hyperlink ref="F27" r:id="rId16" location="lnk=sametab" xr:uid="{4FF59BC2-5468-497D-AD76-1342CA96084C}"/>
    <hyperlink ref="F28" r:id="rId17" location="lnk=sametab" xr:uid="{2971F82B-1645-4A4D-9CF3-9B3D19FDC7A1}"/>
    <hyperlink ref="F29" r:id="rId18" location="lnk=sametab" xr:uid="{14542EE3-C961-44AF-9254-C61A126979B9}"/>
    <hyperlink ref="F36" r:id="rId19" location="lnk=sametab" xr:uid="{BD8123BD-0346-47E9-BC74-CF12650A9177}"/>
    <hyperlink ref="F37" r:id="rId20" location="lnk=sametab" xr:uid="{60321384-7F27-40DE-96B9-BC548D8E5C9E}"/>
    <hyperlink ref="F38" r:id="rId21" location="lnk=sametab" xr:uid="{64772CB0-8A61-4C1D-8B68-7AE30C8F3A16}"/>
    <hyperlink ref="F39" r:id="rId22" location="lnk=sametab" xr:uid="{6BC54340-3457-4087-B2C5-3BE7E72E8A68}"/>
    <hyperlink ref="F40" r:id="rId23" location="lnk=sametab" xr:uid="{7F81D09A-C718-49D2-A09E-36D1927F8DF4}"/>
    <hyperlink ref="F41" r:id="rId24" location="lnk=sametab" xr:uid="{595E91E8-6DE9-4E89-BF37-AA4D830ED251}"/>
    <hyperlink ref="F44" r:id="rId25" location="lnk=sametab" xr:uid="{C25F2A29-B1B1-48AD-8FB6-177380C4D5FC}"/>
    <hyperlink ref="F45" r:id="rId26" location="lnk=sametab" xr:uid="{264F57EB-5ECF-4F78-8425-3BB7B9F57C59}"/>
    <hyperlink ref="F50" r:id="rId27" location="lnk=sametab" xr:uid="{113FBFE0-242D-4FEC-BD05-0A3C4D6548DE}"/>
    <hyperlink ref="F51" r:id="rId28" location="lnk=sametab" xr:uid="{07CDF947-8B6E-46C9-8B50-482E11445477}"/>
    <hyperlink ref="F52" r:id="rId29" location="lnk=sametab" xr:uid="{704A45F9-6B86-4E8D-AFC8-F673156BA614}"/>
    <hyperlink ref="F53" r:id="rId30" location="lnk=sametab" xr:uid="{D25E48DA-E06E-4D82-BBF5-087EB2B07076}"/>
    <hyperlink ref="F55" r:id="rId31" location="lnk=sametab" xr:uid="{47BD0490-9FDD-4EF1-899F-5C696C3132D1}"/>
    <hyperlink ref="F56" r:id="rId32" location="lnk=sametab" xr:uid="{14B13FB4-2135-4348-89C7-51B81CBEA8B1}"/>
    <hyperlink ref="F57" r:id="rId33" location="lnk=sametab" xr:uid="{53428D9A-25B7-4943-AE25-42DE25392F0C}"/>
    <hyperlink ref="F62" r:id="rId34" location="lnk=sametab" xr:uid="{0D744ADE-48CF-4B6A-955C-EBB17752520F}"/>
    <hyperlink ref="F64" r:id="rId35" location="lnk=sametab" xr:uid="{0FD2DF8E-6A2B-45B2-B38B-E6A097869EBA}"/>
    <hyperlink ref="F65" r:id="rId36" location="lnk=sametab" xr:uid="{9AB9614F-B071-4623-9ECE-3220CA1BB398}"/>
    <hyperlink ref="F66" r:id="rId37" location="lnk=sametab" xr:uid="{9AC7C615-49A0-4D1F-9E24-E58870024863}"/>
    <hyperlink ref="F89" r:id="rId38" location="lnk=sametab" xr:uid="{769FFB15-6275-4FEF-BF95-CE7B7D2E5B38}"/>
    <hyperlink ref="F71" r:id="rId39" location="lnk=sametab" xr:uid="{DA725B85-A7D0-4672-AD99-FF48704D2C20}"/>
    <hyperlink ref="F72" r:id="rId40" location="lnk=sametab" xr:uid="{5CBA3386-476A-4238-BE4A-B639DEBF64CC}"/>
    <hyperlink ref="F73" r:id="rId41" location="lnk=sametab" xr:uid="{EB56E58B-C4A9-4650-B7BF-835C8E56DE73}"/>
    <hyperlink ref="F76" r:id="rId42" location="lnk=sametab" xr:uid="{CB69DE60-B9D9-419F-ADF9-5D10A6D58673}"/>
    <hyperlink ref="F77" r:id="rId43" location="lnk=sametab" xr:uid="{B89F6FF1-0992-4949-BC91-F47C425F5A1C}"/>
    <hyperlink ref="F78" r:id="rId44" location="lnk=sametab" xr:uid="{A801E74C-AAF6-4B2D-8B6F-D49FC40D8181}"/>
    <hyperlink ref="F81" r:id="rId45" location="lnk=sametab" xr:uid="{85734198-6FD4-426C-9730-430F42AF98C5}"/>
    <hyperlink ref="F82" r:id="rId46" location="lnk=sametab" xr:uid="{C6FBA182-50BF-4C35-AB09-520E527DD6A3}"/>
    <hyperlink ref="F100" r:id="rId47" location="lnk=sametab" xr:uid="{1248D53E-E76C-4CBF-AD69-12DF48142361}"/>
    <hyperlink ref="F101" r:id="rId48" location="lnk=sametab" xr:uid="{A0A83D12-A150-4F8E-91CD-2A6858BE2EBE}"/>
    <hyperlink ref="F109" r:id="rId49" location="lnk=sametab" xr:uid="{7FDE893B-8BC8-438B-A320-F387E123E928}"/>
    <hyperlink ref="F110" r:id="rId50" location="lnk=sametab" xr:uid="{F86DA5A6-271E-47BC-A6B6-A9FDF0CA460B}"/>
    <hyperlink ref="F111" r:id="rId51" location="lnk=sametab" xr:uid="{AC99E1BF-845A-4044-BEF5-EC309A60ECF0}"/>
    <hyperlink ref="F112" r:id="rId52" location="lnk=sametab" xr:uid="{DDE92BF2-13E6-4D5A-9BC0-6D4ACEFB6ED1}"/>
    <hyperlink ref="F115" r:id="rId53" location="lnk=sametab" xr:uid="{0D29C16F-8829-4927-B707-29C9D60784A4}"/>
    <hyperlink ref="F116" r:id="rId54" location="lnk=sametab" xr:uid="{F54BBE9B-EE26-4C25-BAAD-E429782CA7B3}"/>
    <hyperlink ref="F117" r:id="rId55" location="lnk=sametab" xr:uid="{63A3937B-077D-4FF4-BD8D-480AF3A5533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9A4B-C616-4478-8F62-34675C396E5E}">
  <dimension ref="A1:Q122"/>
  <sheetViews>
    <sheetView topLeftCell="A20" workbookViewId="0">
      <selection activeCell="F38" sqref="F38"/>
    </sheetView>
  </sheetViews>
  <sheetFormatPr defaultRowHeight="14.6" x14ac:dyDescent="0.4"/>
  <cols>
    <col min="1" max="1" width="17.84375" customWidth="1"/>
    <col min="2" max="2" width="16.84375" bestFit="1" customWidth="1"/>
    <col min="4" max="4" width="15.84375" bestFit="1" customWidth="1"/>
    <col min="5" max="5" width="11.3828125" bestFit="1" customWidth="1"/>
  </cols>
  <sheetData>
    <row r="1" spans="1:17" x14ac:dyDescent="0.4">
      <c r="A1" s="6" t="s">
        <v>0</v>
      </c>
      <c r="B1" s="7" t="s">
        <v>195</v>
      </c>
      <c r="C1" s="16" t="s">
        <v>196</v>
      </c>
      <c r="D1" s="6" t="s">
        <v>197</v>
      </c>
      <c r="E1" s="16" t="s">
        <v>198</v>
      </c>
      <c r="F1" s="6" t="s">
        <v>8</v>
      </c>
      <c r="G1" s="6"/>
      <c r="H1" s="6"/>
      <c r="I1" s="6"/>
      <c r="J1" s="6"/>
      <c r="K1" s="6"/>
      <c r="L1" s="6"/>
      <c r="M1" s="6"/>
      <c r="N1" s="6"/>
      <c r="O1" s="6"/>
      <c r="P1" s="1"/>
      <c r="Q1" s="1"/>
    </row>
    <row r="2" spans="1:17" x14ac:dyDescent="0.4">
      <c r="A2" s="1"/>
      <c r="C2" s="15"/>
      <c r="E2" s="15"/>
    </row>
    <row r="3" spans="1:17" x14ac:dyDescent="0.4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7">
        <v>6</v>
      </c>
    </row>
    <row r="4" spans="1:17" x14ac:dyDescent="0.4">
      <c r="A4" t="s">
        <v>11</v>
      </c>
      <c r="B4" t="s">
        <v>12</v>
      </c>
      <c r="C4" s="15">
        <v>2.85</v>
      </c>
      <c r="D4" t="s">
        <v>755</v>
      </c>
      <c r="E4" s="15">
        <v>2.85</v>
      </c>
      <c r="F4" s="14" t="s">
        <v>756</v>
      </c>
    </row>
    <row r="5" spans="1:17" x14ac:dyDescent="0.4">
      <c r="A5" t="s">
        <v>15</v>
      </c>
      <c r="B5" t="s">
        <v>16</v>
      </c>
      <c r="C5" s="15">
        <v>2.19</v>
      </c>
      <c r="D5" t="s">
        <v>757</v>
      </c>
      <c r="E5" s="15">
        <v>2.19</v>
      </c>
      <c r="F5" s="14" t="s">
        <v>758</v>
      </c>
    </row>
    <row r="6" spans="1:17" x14ac:dyDescent="0.4">
      <c r="A6" t="s">
        <v>203</v>
      </c>
      <c r="B6" t="s">
        <v>204</v>
      </c>
      <c r="C6" s="15">
        <v>3.85</v>
      </c>
      <c r="D6" t="s">
        <v>205</v>
      </c>
      <c r="E6" s="15">
        <v>3.85</v>
      </c>
      <c r="F6" s="14" t="s">
        <v>759</v>
      </c>
    </row>
    <row r="7" spans="1:17" x14ac:dyDescent="0.4">
      <c r="A7" t="s">
        <v>21</v>
      </c>
      <c r="B7" t="s">
        <v>22</v>
      </c>
      <c r="C7" s="15">
        <v>6.25</v>
      </c>
      <c r="D7" t="s">
        <v>760</v>
      </c>
      <c r="E7" s="15">
        <f>(2/34)*6.25</f>
        <v>0.36764705882352938</v>
      </c>
      <c r="F7" s="14" t="s">
        <v>761</v>
      </c>
    </row>
    <row r="8" spans="1:17" x14ac:dyDescent="0.4">
      <c r="A8" t="s">
        <v>26</v>
      </c>
      <c r="B8" t="s">
        <v>27</v>
      </c>
      <c r="C8" s="15">
        <f>4.05+0.85</f>
        <v>4.8999999999999995</v>
      </c>
      <c r="D8" t="s">
        <v>762</v>
      </c>
      <c r="E8" s="15">
        <f>(4.05/30)+(0.85/80)</f>
        <v>0.14562499999999998</v>
      </c>
      <c r="F8" s="14" t="s">
        <v>763</v>
      </c>
      <c r="N8" s="14" t="s">
        <v>764</v>
      </c>
    </row>
    <row r="9" spans="1:17" x14ac:dyDescent="0.4">
      <c r="A9" t="s">
        <v>30</v>
      </c>
      <c r="B9" t="s">
        <v>22</v>
      </c>
      <c r="C9" s="15">
        <v>2.85</v>
      </c>
      <c r="D9" t="s">
        <v>765</v>
      </c>
      <c r="E9" s="15">
        <f>(2/16)*2.85</f>
        <v>0.35625000000000001</v>
      </c>
      <c r="F9" s="14" t="s">
        <v>766</v>
      </c>
    </row>
    <row r="10" spans="1:17" x14ac:dyDescent="0.4">
      <c r="A10" t="s">
        <v>32</v>
      </c>
      <c r="B10" t="s">
        <v>33</v>
      </c>
      <c r="C10" s="15">
        <v>2.09</v>
      </c>
      <c r="D10" t="s">
        <v>767</v>
      </c>
      <c r="E10" s="15">
        <f>2.09/2</f>
        <v>1.0449999999999999</v>
      </c>
      <c r="F10" s="14" t="s">
        <v>768</v>
      </c>
    </row>
    <row r="11" spans="1:17" x14ac:dyDescent="0.4">
      <c r="A11" s="1" t="s">
        <v>214</v>
      </c>
      <c r="C11" s="15">
        <f>SUM(C4:C10)</f>
        <v>24.98</v>
      </c>
      <c r="E11" s="15">
        <f>SUM(E4:E10)</f>
        <v>10.80452205882353</v>
      </c>
    </row>
    <row r="12" spans="1:17" x14ac:dyDescent="0.4">
      <c r="A12" s="11" t="s">
        <v>35</v>
      </c>
      <c r="C12" s="15"/>
      <c r="E12" s="15"/>
    </row>
    <row r="13" spans="1:17" x14ac:dyDescent="0.4">
      <c r="A13" s="11"/>
      <c r="C13" s="15"/>
      <c r="E13" s="15"/>
    </row>
    <row r="14" spans="1:17" x14ac:dyDescent="0.4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17">
        <v>1</v>
      </c>
    </row>
    <row r="15" spans="1:17" x14ac:dyDescent="0.4">
      <c r="A15" t="s">
        <v>37</v>
      </c>
      <c r="B15" t="s">
        <v>38</v>
      </c>
      <c r="C15" s="15">
        <v>4.55</v>
      </c>
      <c r="D15" t="s">
        <v>769</v>
      </c>
      <c r="E15" s="15">
        <f>(1/21)*4.55</f>
        <v>0.21666666666666665</v>
      </c>
      <c r="F15" s="14" t="s">
        <v>770</v>
      </c>
    </row>
    <row r="16" spans="1:17" x14ac:dyDescent="0.4">
      <c r="A16" t="s">
        <v>41</v>
      </c>
      <c r="B16" t="s">
        <v>38</v>
      </c>
      <c r="C16" s="15">
        <v>3.29</v>
      </c>
      <c r="D16" t="s">
        <v>690</v>
      </c>
      <c r="E16" s="15">
        <f>3.29/16</f>
        <v>0.205625</v>
      </c>
      <c r="F16" s="14" t="s">
        <v>771</v>
      </c>
    </row>
    <row r="17" spans="1:15" x14ac:dyDescent="0.4">
      <c r="A17" t="s">
        <v>43</v>
      </c>
      <c r="B17" t="s">
        <v>44</v>
      </c>
      <c r="C17" s="15">
        <v>2.79</v>
      </c>
      <c r="D17" t="s">
        <v>722</v>
      </c>
      <c r="E17" s="15">
        <f>(1/24)*2.79</f>
        <v>0.11624999999999999</v>
      </c>
      <c r="F17" s="14" t="s">
        <v>772</v>
      </c>
    </row>
    <row r="18" spans="1:15" x14ac:dyDescent="0.4">
      <c r="A18" t="s">
        <v>46</v>
      </c>
      <c r="B18" t="s">
        <v>47</v>
      </c>
      <c r="C18" s="15">
        <v>4.09</v>
      </c>
      <c r="D18" t="s">
        <v>201</v>
      </c>
      <c r="E18" s="15">
        <f>(2/72)*4.09</f>
        <v>0.11361111111111111</v>
      </c>
      <c r="F18" s="14" t="s">
        <v>773</v>
      </c>
    </row>
    <row r="19" spans="1:15" x14ac:dyDescent="0.4">
      <c r="A19" t="s">
        <v>222</v>
      </c>
      <c r="B19" t="s">
        <v>38</v>
      </c>
      <c r="C19" s="15">
        <v>3.09</v>
      </c>
      <c r="D19" t="s">
        <v>774</v>
      </c>
      <c r="E19" s="15">
        <f>3.09/12</f>
        <v>0.25750000000000001</v>
      </c>
      <c r="F19" s="14" t="s">
        <v>775</v>
      </c>
    </row>
    <row r="20" spans="1:15" x14ac:dyDescent="0.4">
      <c r="A20" t="s">
        <v>50</v>
      </c>
      <c r="B20" t="s">
        <v>47</v>
      </c>
      <c r="C20" s="15">
        <v>3.69</v>
      </c>
      <c r="D20" t="s">
        <v>201</v>
      </c>
      <c r="E20" s="15">
        <f>(2/72)*3.69</f>
        <v>0.10249999999999999</v>
      </c>
      <c r="F20" s="14" t="s">
        <v>776</v>
      </c>
    </row>
    <row r="21" spans="1:15" x14ac:dyDescent="0.4">
      <c r="A21" s="1" t="s">
        <v>214</v>
      </c>
      <c r="C21" s="15">
        <f>SUM(C15:C20)</f>
        <v>21.5</v>
      </c>
      <c r="E21" s="15">
        <f>SUM(E15:E20)</f>
        <v>1.0121527777777777</v>
      </c>
    </row>
    <row r="22" spans="1:15" x14ac:dyDescent="0.4">
      <c r="A22" s="12" t="s">
        <v>52</v>
      </c>
      <c r="C22" s="15"/>
      <c r="E22" s="15"/>
    </row>
    <row r="23" spans="1:15" x14ac:dyDescent="0.4">
      <c r="A23" s="10"/>
      <c r="C23" s="15"/>
      <c r="E23" s="15"/>
    </row>
    <row r="24" spans="1:15" x14ac:dyDescent="0.4">
      <c r="A24" s="29" t="s">
        <v>53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17">
        <v>4</v>
      </c>
    </row>
    <row r="25" spans="1:15" x14ac:dyDescent="0.4">
      <c r="A25" t="s">
        <v>54</v>
      </c>
      <c r="B25">
        <v>8</v>
      </c>
      <c r="C25" s="15">
        <v>2.35</v>
      </c>
      <c r="D25">
        <v>8</v>
      </c>
      <c r="E25" s="15">
        <v>2.35</v>
      </c>
      <c r="F25" s="14" t="s">
        <v>777</v>
      </c>
    </row>
    <row r="26" spans="1:15" x14ac:dyDescent="0.4">
      <c r="A26" t="s">
        <v>56</v>
      </c>
      <c r="B26" t="s">
        <v>57</v>
      </c>
      <c r="C26" s="15">
        <v>3.29</v>
      </c>
      <c r="D26" t="s">
        <v>223</v>
      </c>
      <c r="E26" s="15">
        <f>3.29/32</f>
        <v>0.1028125</v>
      </c>
      <c r="F26" s="14" t="s">
        <v>778</v>
      </c>
    </row>
    <row r="27" spans="1:15" x14ac:dyDescent="0.4">
      <c r="A27" s="3" t="s">
        <v>60</v>
      </c>
      <c r="B27" t="s">
        <v>61</v>
      </c>
      <c r="C27" s="15">
        <v>5.79</v>
      </c>
      <c r="D27" t="s">
        <v>61</v>
      </c>
      <c r="E27" s="15">
        <v>5.79</v>
      </c>
      <c r="F27" s="14" t="s">
        <v>779</v>
      </c>
    </row>
    <row r="28" spans="1:15" x14ac:dyDescent="0.4">
      <c r="A28" t="s">
        <v>63</v>
      </c>
      <c r="B28" t="s">
        <v>64</v>
      </c>
      <c r="C28" s="15">
        <v>0.95</v>
      </c>
      <c r="D28" t="s">
        <v>64</v>
      </c>
      <c r="E28" s="15">
        <v>0.95</v>
      </c>
      <c r="F28" s="14" t="s">
        <v>780</v>
      </c>
    </row>
    <row r="29" spans="1:15" x14ac:dyDescent="0.4">
      <c r="A29" t="s">
        <v>66</v>
      </c>
      <c r="B29" t="s">
        <v>12</v>
      </c>
      <c r="C29" s="15">
        <v>2.65</v>
      </c>
      <c r="D29" t="s">
        <v>268</v>
      </c>
      <c r="E29" s="15">
        <v>2.65</v>
      </c>
      <c r="F29" s="14" t="s">
        <v>781</v>
      </c>
    </row>
    <row r="30" spans="1:15" x14ac:dyDescent="0.4">
      <c r="A30" t="s">
        <v>26</v>
      </c>
      <c r="B30" t="s">
        <v>68</v>
      </c>
      <c r="C30" s="15">
        <f>4.05+0.85</f>
        <v>4.8999999999999995</v>
      </c>
      <c r="D30" t="s">
        <v>762</v>
      </c>
      <c r="E30" s="15">
        <f>(4.05/45)+(0.85/123)</f>
        <v>9.6910569105691055E-2</v>
      </c>
      <c r="F30" t="s">
        <v>69</v>
      </c>
    </row>
    <row r="31" spans="1:15" x14ac:dyDescent="0.4">
      <c r="A31" t="s">
        <v>70</v>
      </c>
      <c r="B31" t="s">
        <v>229</v>
      </c>
      <c r="C31" s="15">
        <v>6.25</v>
      </c>
      <c r="D31" t="s">
        <v>760</v>
      </c>
      <c r="E31" s="15">
        <f>(1/34)*6.25</f>
        <v>0.18382352941176469</v>
      </c>
      <c r="F31" t="s">
        <v>69</v>
      </c>
    </row>
    <row r="32" spans="1:15" x14ac:dyDescent="0.4">
      <c r="A32" s="1" t="s">
        <v>214</v>
      </c>
      <c r="C32" s="15">
        <f>SUM(C25:C31)</f>
        <v>26.18</v>
      </c>
      <c r="E32" s="15">
        <f>SUM(E25:E31)</f>
        <v>12.123546598517455</v>
      </c>
    </row>
    <row r="33" spans="1:15" x14ac:dyDescent="0.4">
      <c r="A33" s="11" t="s">
        <v>71</v>
      </c>
      <c r="C33" s="15"/>
      <c r="E33" s="15"/>
    </row>
    <row r="34" spans="1:15" x14ac:dyDescent="0.4">
      <c r="A34" s="1"/>
      <c r="C34" s="15"/>
      <c r="E34" s="15"/>
    </row>
    <row r="35" spans="1:15" x14ac:dyDescent="0.4">
      <c r="A35" s="29" t="s">
        <v>72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17">
        <v>6</v>
      </c>
    </row>
    <row r="36" spans="1:15" x14ac:dyDescent="0.4">
      <c r="A36" s="3" t="s">
        <v>73</v>
      </c>
      <c r="B36" t="s">
        <v>74</v>
      </c>
      <c r="C36" s="19">
        <v>6.95</v>
      </c>
      <c r="D36" s="20" t="s">
        <v>74</v>
      </c>
      <c r="E36" s="19">
        <v>6.95</v>
      </c>
      <c r="F36" s="14" t="s">
        <v>782</v>
      </c>
      <c r="G36" s="2"/>
      <c r="H36" s="2"/>
      <c r="I36" s="2"/>
      <c r="J36" s="2"/>
      <c r="K36" s="2"/>
      <c r="L36" s="2"/>
      <c r="M36" s="2"/>
      <c r="N36" s="2"/>
    </row>
    <row r="37" spans="1:15" x14ac:dyDescent="0.4">
      <c r="A37" s="3" t="s">
        <v>76</v>
      </c>
      <c r="B37" s="18">
        <v>1</v>
      </c>
      <c r="C37" s="19">
        <v>2.19</v>
      </c>
      <c r="D37" s="20">
        <v>5</v>
      </c>
      <c r="E37" s="19">
        <f>(1/5)*2.19</f>
        <v>0.438</v>
      </c>
      <c r="F37" s="14" t="s">
        <v>783</v>
      </c>
      <c r="G37" s="19"/>
      <c r="H37" s="14"/>
      <c r="I37" s="2"/>
      <c r="J37" s="2"/>
      <c r="K37" s="2"/>
      <c r="L37" s="2"/>
      <c r="M37" s="2"/>
      <c r="N37" s="2"/>
    </row>
    <row r="38" spans="1:15" x14ac:dyDescent="0.4">
      <c r="A38" t="s">
        <v>79</v>
      </c>
      <c r="B38" t="s">
        <v>64</v>
      </c>
      <c r="C38" s="19">
        <v>0.99</v>
      </c>
      <c r="D38" s="20" t="s">
        <v>64</v>
      </c>
      <c r="E38" s="19">
        <v>0.99</v>
      </c>
      <c r="F38" s="14" t="s">
        <v>782</v>
      </c>
      <c r="G38" s="2"/>
      <c r="H38" s="2"/>
      <c r="I38" s="2"/>
      <c r="J38" s="2"/>
      <c r="K38" s="2"/>
      <c r="L38" s="2"/>
      <c r="M38" s="2"/>
      <c r="N38" s="2"/>
    </row>
    <row r="39" spans="1:15" x14ac:dyDescent="0.4">
      <c r="A39" t="s">
        <v>82</v>
      </c>
      <c r="B39" t="s">
        <v>83</v>
      </c>
      <c r="C39" s="19">
        <v>0.55000000000000004</v>
      </c>
      <c r="D39" s="20" t="s">
        <v>83</v>
      </c>
      <c r="E39" s="19">
        <v>0.55000000000000004</v>
      </c>
      <c r="F39" s="14" t="s">
        <v>784</v>
      </c>
      <c r="G39" s="2"/>
      <c r="H39" s="2"/>
      <c r="I39" s="2"/>
      <c r="J39" s="2"/>
      <c r="K39" s="2"/>
      <c r="L39" s="2"/>
      <c r="M39" s="2"/>
      <c r="N39" s="2"/>
    </row>
    <row r="40" spans="1:15" x14ac:dyDescent="0.4">
      <c r="A40" t="s">
        <v>230</v>
      </c>
      <c r="B40" t="s">
        <v>64</v>
      </c>
      <c r="C40" s="15">
        <v>0.95</v>
      </c>
      <c r="D40" t="s">
        <v>64</v>
      </c>
      <c r="E40" s="15">
        <v>0.95</v>
      </c>
      <c r="F40" s="14" t="s">
        <v>785</v>
      </c>
    </row>
    <row r="41" spans="1:15" x14ac:dyDescent="0.4">
      <c r="A41" t="s">
        <v>89</v>
      </c>
      <c r="B41" t="s">
        <v>64</v>
      </c>
      <c r="C41" s="15">
        <v>0.85</v>
      </c>
      <c r="D41" t="s">
        <v>64</v>
      </c>
      <c r="E41" s="15">
        <v>0.85</v>
      </c>
      <c r="F41" s="14" t="s">
        <v>786</v>
      </c>
    </row>
    <row r="42" spans="1:15" x14ac:dyDescent="0.4">
      <c r="A42" t="s">
        <v>26</v>
      </c>
      <c r="B42" t="s">
        <v>91</v>
      </c>
      <c r="C42" s="15">
        <f>4.05+0.85</f>
        <v>4.8999999999999995</v>
      </c>
      <c r="D42" t="s">
        <v>762</v>
      </c>
      <c r="E42" s="15">
        <f>(4.05/45)+(0.85/123)</f>
        <v>9.6910569105691055E-2</v>
      </c>
      <c r="F42" t="s">
        <v>69</v>
      </c>
    </row>
    <row r="43" spans="1:15" x14ac:dyDescent="0.4">
      <c r="A43" t="s">
        <v>66</v>
      </c>
      <c r="B43" t="s">
        <v>92</v>
      </c>
      <c r="C43" s="15">
        <f>C29</f>
        <v>2.65</v>
      </c>
      <c r="D43" t="str">
        <f>D29</f>
        <v>11 oz</v>
      </c>
      <c r="E43" s="15">
        <f>E29*2</f>
        <v>5.3</v>
      </c>
      <c r="F43" t="s">
        <v>69</v>
      </c>
    </row>
    <row r="44" spans="1:15" x14ac:dyDescent="0.4">
      <c r="A44" t="s">
        <v>93</v>
      </c>
      <c r="B44" t="s">
        <v>94</v>
      </c>
      <c r="C44" s="15">
        <v>1.89</v>
      </c>
      <c r="D44" t="s">
        <v>787</v>
      </c>
      <c r="E44" s="15">
        <f>1.89/13</f>
        <v>0.14538461538461539</v>
      </c>
      <c r="F44" s="14" t="s">
        <v>788</v>
      </c>
    </row>
    <row r="45" spans="1:15" x14ac:dyDescent="0.4">
      <c r="A45" t="s">
        <v>96</v>
      </c>
      <c r="B45" t="s">
        <v>231</v>
      </c>
      <c r="C45" s="15">
        <v>1.99</v>
      </c>
      <c r="D45" t="s">
        <v>223</v>
      </c>
      <c r="E45" s="15">
        <f>1.99/2</f>
        <v>0.995</v>
      </c>
      <c r="F45" s="14" t="s">
        <v>789</v>
      </c>
    </row>
    <row r="46" spans="1:15" x14ac:dyDescent="0.4">
      <c r="A46" s="1" t="s">
        <v>214</v>
      </c>
      <c r="C46" s="15">
        <f>SUM(C36:C45)</f>
        <v>23.909999999999997</v>
      </c>
      <c r="E46" s="15">
        <f>SUM(E36:E45)</f>
        <v>17.265295184490306</v>
      </c>
    </row>
    <row r="47" spans="1:15" x14ac:dyDescent="0.4">
      <c r="A47" s="11" t="s">
        <v>71</v>
      </c>
      <c r="C47" s="15"/>
      <c r="E47" s="15"/>
    </row>
    <row r="48" spans="1:15" x14ac:dyDescent="0.4">
      <c r="C48" s="15"/>
      <c r="E48" s="15"/>
    </row>
    <row r="49" spans="1:15" x14ac:dyDescent="0.4">
      <c r="A49" s="29" t="s">
        <v>99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17">
        <v>4</v>
      </c>
    </row>
    <row r="50" spans="1:15" x14ac:dyDescent="0.4">
      <c r="A50" t="s">
        <v>100</v>
      </c>
      <c r="B50" t="s">
        <v>101</v>
      </c>
      <c r="C50" s="15">
        <v>2.19</v>
      </c>
      <c r="D50" t="s">
        <v>790</v>
      </c>
      <c r="E50" s="15">
        <f>(2/19)*2.19</f>
        <v>0.23052631578947366</v>
      </c>
      <c r="F50" s="14" t="s">
        <v>791</v>
      </c>
    </row>
    <row r="51" spans="1:15" x14ac:dyDescent="0.4">
      <c r="A51" t="s">
        <v>103</v>
      </c>
      <c r="B51" t="s">
        <v>104</v>
      </c>
      <c r="C51" s="15">
        <v>3.19</v>
      </c>
      <c r="D51" t="s">
        <v>792</v>
      </c>
      <c r="E51" s="15">
        <f>(2/149)*3.19</f>
        <v>4.2818791946308721E-2</v>
      </c>
      <c r="F51" s="14" t="s">
        <v>793</v>
      </c>
    </row>
    <row r="52" spans="1:15" x14ac:dyDescent="0.4">
      <c r="A52" s="3" t="s">
        <v>106</v>
      </c>
      <c r="B52" t="s">
        <v>47</v>
      </c>
      <c r="C52" s="15">
        <v>2.0499999999999998</v>
      </c>
      <c r="D52" t="s">
        <v>794</v>
      </c>
      <c r="E52" s="15">
        <f>(2/48)*2.05</f>
        <v>8.5416666666666655E-2</v>
      </c>
      <c r="F52" s="14" t="s">
        <v>795</v>
      </c>
    </row>
    <row r="53" spans="1:15" x14ac:dyDescent="0.4">
      <c r="A53" s="3" t="s">
        <v>108</v>
      </c>
      <c r="B53" t="s">
        <v>109</v>
      </c>
      <c r="C53" s="15">
        <v>0.99</v>
      </c>
      <c r="D53" t="s">
        <v>223</v>
      </c>
      <c r="E53" s="15">
        <f>(1/192)*0.99</f>
        <v>5.1562499999999994E-3</v>
      </c>
      <c r="F53" s="14" t="s">
        <v>796</v>
      </c>
    </row>
    <row r="54" spans="1:15" x14ac:dyDescent="0.4">
      <c r="A54" t="s">
        <v>111</v>
      </c>
      <c r="B54" t="s">
        <v>109</v>
      </c>
      <c r="C54" s="15">
        <v>0.85</v>
      </c>
      <c r="D54" t="s">
        <v>797</v>
      </c>
      <c r="E54" s="15">
        <v>0.01</v>
      </c>
      <c r="F54" t="s">
        <v>69</v>
      </c>
    </row>
    <row r="55" spans="1:15" x14ac:dyDescent="0.4">
      <c r="A55" t="s">
        <v>113</v>
      </c>
      <c r="B55" t="s">
        <v>114</v>
      </c>
      <c r="C55" s="15" t="s">
        <v>284</v>
      </c>
      <c r="D55" s="15" t="s">
        <v>284</v>
      </c>
      <c r="E55" s="15" t="s">
        <v>284</v>
      </c>
      <c r="F55" s="15" t="s">
        <v>798</v>
      </c>
    </row>
    <row r="56" spans="1:15" x14ac:dyDescent="0.4">
      <c r="A56" t="s">
        <v>116</v>
      </c>
      <c r="B56">
        <v>2</v>
      </c>
      <c r="C56" s="15">
        <v>2.19</v>
      </c>
      <c r="D56">
        <v>12</v>
      </c>
      <c r="E56" s="15">
        <f>(1/6)*2.19</f>
        <v>0.36499999999999999</v>
      </c>
      <c r="F56" s="14" t="s">
        <v>799</v>
      </c>
    </row>
    <row r="57" spans="1:15" x14ac:dyDescent="0.4">
      <c r="A57" t="s">
        <v>118</v>
      </c>
      <c r="B57" t="s">
        <v>119</v>
      </c>
      <c r="C57" s="15">
        <v>3.85</v>
      </c>
      <c r="D57" t="s">
        <v>800</v>
      </c>
      <c r="E57" s="15">
        <f>(4/96)*3.85</f>
        <v>0.16041666666666665</v>
      </c>
      <c r="F57" s="14" t="s">
        <v>801</v>
      </c>
    </row>
    <row r="58" spans="1:15" x14ac:dyDescent="0.4">
      <c r="A58" s="1" t="s">
        <v>214</v>
      </c>
      <c r="C58" s="15">
        <f>SUM(C50:C57)</f>
        <v>15.309999999999999</v>
      </c>
      <c r="E58" s="15">
        <f>SUM(E50:E57)</f>
        <v>0.89933469106911557</v>
      </c>
    </row>
    <row r="59" spans="1:15" x14ac:dyDescent="0.4">
      <c r="A59" s="13" t="s">
        <v>121</v>
      </c>
      <c r="C59" s="15"/>
      <c r="E59" s="15"/>
    </row>
    <row r="60" spans="1:15" x14ac:dyDescent="0.4">
      <c r="A60" s="11"/>
      <c r="C60" s="15"/>
      <c r="E60" s="15"/>
    </row>
    <row r="61" spans="1:15" x14ac:dyDescent="0.4">
      <c r="A61" s="29" t="s">
        <v>122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17">
        <v>2</v>
      </c>
    </row>
    <row r="62" spans="1:15" x14ac:dyDescent="0.4">
      <c r="A62" t="s">
        <v>123</v>
      </c>
      <c r="B62" t="s">
        <v>124</v>
      </c>
      <c r="C62" s="15">
        <v>3.29</v>
      </c>
      <c r="D62" t="s">
        <v>802</v>
      </c>
      <c r="E62" s="15">
        <f>3.29/3</f>
        <v>1.0966666666666667</v>
      </c>
      <c r="F62" s="14" t="s">
        <v>803</v>
      </c>
    </row>
    <row r="63" spans="1:15" x14ac:dyDescent="0.4">
      <c r="A63" t="s">
        <v>126</v>
      </c>
      <c r="B63" t="s">
        <v>127</v>
      </c>
      <c r="C63" s="15">
        <f>C27</f>
        <v>5.79</v>
      </c>
      <c r="D63" t="s">
        <v>74</v>
      </c>
      <c r="E63" s="15">
        <f>0.5*C63</f>
        <v>2.895</v>
      </c>
      <c r="F63" t="s">
        <v>69</v>
      </c>
    </row>
    <row r="64" spans="1:15" x14ac:dyDescent="0.4">
      <c r="A64" t="s">
        <v>134</v>
      </c>
      <c r="B64" t="s">
        <v>38</v>
      </c>
      <c r="C64" s="15">
        <v>3.09</v>
      </c>
      <c r="D64" t="s">
        <v>199</v>
      </c>
      <c r="E64" s="15">
        <f>0.5*3.09</f>
        <v>1.5449999999999999</v>
      </c>
      <c r="F64" s="14" t="s">
        <v>804</v>
      </c>
    </row>
    <row r="65" spans="1:15" x14ac:dyDescent="0.4">
      <c r="A65" s="3" t="s">
        <v>137</v>
      </c>
      <c r="B65" t="s">
        <v>138</v>
      </c>
      <c r="C65" s="15">
        <v>1.49</v>
      </c>
      <c r="D65" t="s">
        <v>199</v>
      </c>
      <c r="E65" s="15">
        <f>(1/10)*1.49</f>
        <v>0.14899999999999999</v>
      </c>
      <c r="F65" s="14" t="s">
        <v>805</v>
      </c>
    </row>
    <row r="66" spans="1:15" x14ac:dyDescent="0.4">
      <c r="A66" t="s">
        <v>140</v>
      </c>
      <c r="B66" t="s">
        <v>22</v>
      </c>
      <c r="C66" s="15">
        <v>2.15</v>
      </c>
      <c r="D66" t="s">
        <v>223</v>
      </c>
      <c r="E66" s="15">
        <f>(2/32)*2.15</f>
        <v>0.13437499999999999</v>
      </c>
      <c r="F66" s="14" t="s">
        <v>806</v>
      </c>
    </row>
    <row r="67" spans="1:15" x14ac:dyDescent="0.4">
      <c r="A67" s="1" t="s">
        <v>214</v>
      </c>
      <c r="C67" s="15">
        <f>SUM(C61:C66)</f>
        <v>15.81</v>
      </c>
      <c r="E67" s="15">
        <f>SUM(E61:E66)</f>
        <v>5.8200416666666674</v>
      </c>
    </row>
    <row r="68" spans="1:15" x14ac:dyDescent="0.4">
      <c r="A68" s="13" t="s">
        <v>142</v>
      </c>
      <c r="C68" s="15"/>
      <c r="E68" s="15"/>
    </row>
    <row r="69" spans="1:15" x14ac:dyDescent="0.4">
      <c r="A69" s="11"/>
      <c r="C69" s="15"/>
      <c r="E69" s="15"/>
    </row>
    <row r="70" spans="1:15" x14ac:dyDescent="0.4">
      <c r="A70" s="29" t="s">
        <v>143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17">
        <v>4</v>
      </c>
    </row>
    <row r="71" spans="1:15" x14ac:dyDescent="0.4">
      <c r="A71" t="s">
        <v>144</v>
      </c>
      <c r="B71">
        <v>3</v>
      </c>
      <c r="C71" s="15">
        <v>1.99</v>
      </c>
      <c r="D71">
        <v>3</v>
      </c>
      <c r="E71" s="15">
        <v>1.99</v>
      </c>
      <c r="F71" s="14" t="s">
        <v>807</v>
      </c>
    </row>
    <row r="72" spans="1:15" x14ac:dyDescent="0.4">
      <c r="A72" t="s">
        <v>145</v>
      </c>
      <c r="B72">
        <v>1</v>
      </c>
      <c r="C72" s="19">
        <v>2.19</v>
      </c>
      <c r="D72" s="20">
        <v>5</v>
      </c>
      <c r="E72" s="19">
        <f>(1/5)*2.19</f>
        <v>0.438</v>
      </c>
      <c r="F72" s="24" t="s">
        <v>808</v>
      </c>
    </row>
    <row r="73" spans="1:15" x14ac:dyDescent="0.4">
      <c r="A73" t="s">
        <v>146</v>
      </c>
      <c r="B73">
        <v>1</v>
      </c>
      <c r="C73" s="15">
        <v>1.65</v>
      </c>
      <c r="D73" t="s">
        <v>809</v>
      </c>
      <c r="E73" s="15">
        <f>(15/28)*1.65</f>
        <v>0.8839285714285714</v>
      </c>
      <c r="F73" s="14" t="s">
        <v>810</v>
      </c>
    </row>
    <row r="74" spans="1:15" x14ac:dyDescent="0.4">
      <c r="A74" t="s">
        <v>147</v>
      </c>
      <c r="B74" t="s">
        <v>148</v>
      </c>
      <c r="C74" s="15">
        <v>6.25</v>
      </c>
      <c r="D74" t="s">
        <v>760</v>
      </c>
      <c r="E74" s="15">
        <f>(1/34)*6.25</f>
        <v>0.18382352941176469</v>
      </c>
      <c r="F74" t="s">
        <v>69</v>
      </c>
    </row>
    <row r="75" spans="1:15" x14ac:dyDescent="0.4">
      <c r="A75" t="s">
        <v>73</v>
      </c>
      <c r="B75" t="s">
        <v>149</v>
      </c>
      <c r="C75" s="19">
        <v>6.95</v>
      </c>
      <c r="D75" s="20" t="s">
        <v>74</v>
      </c>
      <c r="E75" s="19">
        <v>6.95</v>
      </c>
      <c r="F75" t="s">
        <v>69</v>
      </c>
    </row>
    <row r="76" spans="1:15" x14ac:dyDescent="0.4">
      <c r="A76" t="s">
        <v>150</v>
      </c>
      <c r="B76" t="s">
        <v>101</v>
      </c>
      <c r="C76" s="15">
        <v>1.55</v>
      </c>
      <c r="D76" t="s">
        <v>811</v>
      </c>
      <c r="E76" s="15">
        <f>1.55/2</f>
        <v>0.77500000000000002</v>
      </c>
      <c r="F76" s="14" t="s">
        <v>812</v>
      </c>
    </row>
    <row r="77" spans="1:15" x14ac:dyDescent="0.4">
      <c r="A77" t="s">
        <v>151</v>
      </c>
      <c r="B77" t="s">
        <v>17</v>
      </c>
      <c r="C77" s="15">
        <v>2.95</v>
      </c>
      <c r="D77" t="s">
        <v>813</v>
      </c>
      <c r="E77" s="15">
        <f>(1/9)*2.95</f>
        <v>0.32777777777777778</v>
      </c>
      <c r="F77" s="14" t="s">
        <v>814</v>
      </c>
    </row>
    <row r="78" spans="1:15" x14ac:dyDescent="0.4">
      <c r="A78" t="s">
        <v>152</v>
      </c>
      <c r="B78" t="s">
        <v>68</v>
      </c>
      <c r="C78" s="15">
        <v>1.0900000000000001</v>
      </c>
      <c r="D78" t="s">
        <v>815</v>
      </c>
      <c r="E78" s="15">
        <f>1.09/13</f>
        <v>8.3846153846153848E-2</v>
      </c>
      <c r="F78" s="14" t="s">
        <v>816</v>
      </c>
    </row>
    <row r="79" spans="1:15" x14ac:dyDescent="0.4">
      <c r="A79" t="s">
        <v>111</v>
      </c>
      <c r="B79" t="s">
        <v>68</v>
      </c>
      <c r="C79" s="15">
        <v>0.85</v>
      </c>
      <c r="D79" t="s">
        <v>797</v>
      </c>
      <c r="E79" s="15">
        <v>0.01</v>
      </c>
      <c r="F79" t="s">
        <v>69</v>
      </c>
    </row>
    <row r="80" spans="1:15" x14ac:dyDescent="0.4">
      <c r="A80" t="s">
        <v>153</v>
      </c>
      <c r="B80" t="s">
        <v>148</v>
      </c>
      <c r="C80" s="15">
        <v>2.85</v>
      </c>
      <c r="D80" t="s">
        <v>765</v>
      </c>
      <c r="E80" s="15">
        <f>2.85/16</f>
        <v>0.17812500000000001</v>
      </c>
      <c r="F80" t="s">
        <v>69</v>
      </c>
    </row>
    <row r="81" spans="1:15" x14ac:dyDescent="0.4">
      <c r="A81" t="s">
        <v>154</v>
      </c>
      <c r="B81" t="s">
        <v>68</v>
      </c>
      <c r="C81" s="15">
        <v>1.0900000000000001</v>
      </c>
      <c r="D81" t="s">
        <v>719</v>
      </c>
      <c r="E81" s="15">
        <f>(1/5)*1.09</f>
        <v>0.21800000000000003</v>
      </c>
      <c r="F81" s="14" t="s">
        <v>817</v>
      </c>
    </row>
    <row r="82" spans="1:15" x14ac:dyDescent="0.4">
      <c r="A82" t="s">
        <v>155</v>
      </c>
      <c r="B82" t="s">
        <v>68</v>
      </c>
      <c r="C82" s="15">
        <v>1.0900000000000001</v>
      </c>
      <c r="D82" t="s">
        <v>818</v>
      </c>
      <c r="E82" s="15">
        <f>1.09/10</f>
        <v>0.10900000000000001</v>
      </c>
      <c r="F82" s="14" t="s">
        <v>819</v>
      </c>
    </row>
    <row r="83" spans="1:15" x14ac:dyDescent="0.4">
      <c r="A83" s="1" t="s">
        <v>214</v>
      </c>
      <c r="C83" s="15">
        <f>SUM(C71:C82)</f>
        <v>30.500000000000004</v>
      </c>
      <c r="E83" s="15">
        <f>SUM(E71:E82)</f>
        <v>12.147501032464266</v>
      </c>
    </row>
    <row r="84" spans="1:15" x14ac:dyDescent="0.4">
      <c r="A84" s="11" t="s">
        <v>71</v>
      </c>
      <c r="C84" s="15"/>
      <c r="E84" s="15"/>
    </row>
    <row r="85" spans="1:15" x14ac:dyDescent="0.4">
      <c r="C85" s="15"/>
      <c r="E85" s="15"/>
    </row>
    <row r="86" spans="1:15" x14ac:dyDescent="0.4">
      <c r="A86" s="29" t="s">
        <v>194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17">
        <v>4</v>
      </c>
    </row>
    <row r="87" spans="1:15" x14ac:dyDescent="0.4">
      <c r="A87" t="s">
        <v>73</v>
      </c>
      <c r="B87" t="s">
        <v>149</v>
      </c>
      <c r="C87" s="19">
        <v>6.95</v>
      </c>
      <c r="D87" s="20" t="s">
        <v>74</v>
      </c>
      <c r="E87" s="19">
        <v>6.95</v>
      </c>
      <c r="F87" t="s">
        <v>69</v>
      </c>
    </row>
    <row r="88" spans="1:15" x14ac:dyDescent="0.4">
      <c r="A88" t="s">
        <v>145</v>
      </c>
      <c r="B88" s="9">
        <v>0.5</v>
      </c>
      <c r="C88" s="19">
        <v>2.19</v>
      </c>
      <c r="D88" s="20">
        <v>5</v>
      </c>
      <c r="E88" s="15">
        <f>2.19/10</f>
        <v>0.219</v>
      </c>
      <c r="F88" t="s">
        <v>69</v>
      </c>
    </row>
    <row r="89" spans="1:15" x14ac:dyDescent="0.4">
      <c r="A89" t="s">
        <v>157</v>
      </c>
      <c r="B89" s="8" t="s">
        <v>17</v>
      </c>
      <c r="C89" s="15">
        <v>1.35</v>
      </c>
      <c r="D89" t="s">
        <v>820</v>
      </c>
      <c r="E89" s="15">
        <f>1.35/35</f>
        <v>3.8571428571428576E-2</v>
      </c>
      <c r="F89" s="14" t="s">
        <v>821</v>
      </c>
    </row>
    <row r="90" spans="1:15" x14ac:dyDescent="0.4">
      <c r="A90" t="s">
        <v>158</v>
      </c>
      <c r="B90">
        <v>1</v>
      </c>
      <c r="C90" s="15">
        <v>2.19</v>
      </c>
      <c r="D90">
        <v>12</v>
      </c>
      <c r="E90" s="15">
        <f>2.19/12</f>
        <v>0.1825</v>
      </c>
      <c r="F90" t="s">
        <v>69</v>
      </c>
    </row>
    <row r="91" spans="1:15" x14ac:dyDescent="0.4">
      <c r="A91" t="s">
        <v>232</v>
      </c>
      <c r="B91" t="s">
        <v>38</v>
      </c>
      <c r="C91" s="15">
        <v>2.79</v>
      </c>
      <c r="D91" t="s">
        <v>722</v>
      </c>
      <c r="E91" s="15">
        <f>(1/32)*2.79</f>
        <v>8.7187500000000001E-2</v>
      </c>
      <c r="F91" t="s">
        <v>69</v>
      </c>
    </row>
    <row r="92" spans="1:15" x14ac:dyDescent="0.4">
      <c r="A92" t="s">
        <v>26</v>
      </c>
      <c r="B92" t="s">
        <v>68</v>
      </c>
      <c r="C92" s="15">
        <f>4.05+0.85</f>
        <v>4.8999999999999995</v>
      </c>
      <c r="D92" t="s">
        <v>762</v>
      </c>
      <c r="E92" s="15">
        <f>(4.05/45)+(0.85/123)</f>
        <v>9.6910569105691055E-2</v>
      </c>
      <c r="F92" t="s">
        <v>69</v>
      </c>
    </row>
    <row r="93" spans="1:15" x14ac:dyDescent="0.4">
      <c r="A93" t="s">
        <v>147</v>
      </c>
      <c r="B93" t="s">
        <v>148</v>
      </c>
      <c r="C93" s="15">
        <v>6.25</v>
      </c>
      <c r="D93" t="s">
        <v>760</v>
      </c>
      <c r="E93" s="15">
        <f>(1/34)*6.25</f>
        <v>0.18382352941176469</v>
      </c>
      <c r="F93" t="s">
        <v>69</v>
      </c>
    </row>
    <row r="94" spans="1:15" x14ac:dyDescent="0.4">
      <c r="A94" s="1" t="s">
        <v>214</v>
      </c>
      <c r="C94" s="15">
        <f>SUM(C87:C93)</f>
        <v>26.619999999999997</v>
      </c>
      <c r="E94" s="15">
        <f>SUM(E87:E93)</f>
        <v>7.7579930270888839</v>
      </c>
    </row>
    <row r="95" spans="1:15" x14ac:dyDescent="0.4">
      <c r="A95" s="11" t="s">
        <v>71</v>
      </c>
      <c r="C95" s="15"/>
      <c r="E95" s="15"/>
    </row>
    <row r="96" spans="1:15" x14ac:dyDescent="0.4">
      <c r="C96" s="15"/>
      <c r="E96" s="15"/>
    </row>
    <row r="97" spans="1:15" x14ac:dyDescent="0.4">
      <c r="A97" s="29" t="s">
        <v>159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17">
        <v>4</v>
      </c>
    </row>
    <row r="98" spans="1:15" x14ac:dyDescent="0.4">
      <c r="A98" t="s">
        <v>73</v>
      </c>
      <c r="B98" t="s">
        <v>160</v>
      </c>
      <c r="C98" s="19">
        <v>6.95</v>
      </c>
      <c r="D98" s="20" t="s">
        <v>74</v>
      </c>
      <c r="E98" s="19">
        <f>0.5*6.95</f>
        <v>3.4750000000000001</v>
      </c>
      <c r="F98" t="s">
        <v>69</v>
      </c>
    </row>
    <row r="99" spans="1:15" x14ac:dyDescent="0.4">
      <c r="A99" t="s">
        <v>161</v>
      </c>
      <c r="B99" t="s">
        <v>17</v>
      </c>
      <c r="C99" s="15">
        <v>2.95</v>
      </c>
      <c r="D99" t="s">
        <v>813</v>
      </c>
      <c r="E99" s="15">
        <f>2.95/9</f>
        <v>0.32777777777777778</v>
      </c>
      <c r="F99" t="s">
        <v>69</v>
      </c>
    </row>
    <row r="100" spans="1:15" x14ac:dyDescent="0.4">
      <c r="A100" t="s">
        <v>162</v>
      </c>
      <c r="B100">
        <v>2</v>
      </c>
      <c r="C100" s="15">
        <v>0.65</v>
      </c>
      <c r="D100" t="s">
        <v>822</v>
      </c>
      <c r="E100" s="15">
        <f>2*0.65</f>
        <v>1.3</v>
      </c>
      <c r="F100" s="14" t="s">
        <v>823</v>
      </c>
    </row>
    <row r="101" spans="1:15" x14ac:dyDescent="0.4">
      <c r="A101" t="s">
        <v>163</v>
      </c>
      <c r="B101" t="s">
        <v>17</v>
      </c>
      <c r="C101" s="15">
        <v>3.09</v>
      </c>
      <c r="D101" t="s">
        <v>124</v>
      </c>
      <c r="E101" s="15">
        <f>C101/3</f>
        <v>1.03</v>
      </c>
      <c r="F101" s="14" t="s">
        <v>824</v>
      </c>
    </row>
    <row r="102" spans="1:15" x14ac:dyDescent="0.4">
      <c r="A102" t="s">
        <v>158</v>
      </c>
      <c r="B102">
        <v>2</v>
      </c>
      <c r="C102" s="15">
        <v>2.19</v>
      </c>
      <c r="D102">
        <v>12</v>
      </c>
      <c r="E102" s="15">
        <f>(1/6)*2.19</f>
        <v>0.36499999999999999</v>
      </c>
      <c r="F102" t="s">
        <v>69</v>
      </c>
    </row>
    <row r="103" spans="1:15" x14ac:dyDescent="0.4">
      <c r="A103" t="s">
        <v>164</v>
      </c>
      <c r="B103">
        <v>4</v>
      </c>
      <c r="C103" s="15">
        <v>2.35</v>
      </c>
      <c r="D103">
        <v>8</v>
      </c>
      <c r="E103" s="15">
        <f>C103/2</f>
        <v>1.175</v>
      </c>
      <c r="F103" t="s">
        <v>69</v>
      </c>
    </row>
    <row r="104" spans="1:15" x14ac:dyDescent="0.4">
      <c r="A104" t="s">
        <v>147</v>
      </c>
      <c r="B104" t="s">
        <v>22</v>
      </c>
      <c r="C104" s="15">
        <v>6.25</v>
      </c>
      <c r="D104" t="s">
        <v>760</v>
      </c>
      <c r="E104" s="15">
        <f>(2/34)*6.25</f>
        <v>0.36764705882352938</v>
      </c>
      <c r="F104" t="s">
        <v>69</v>
      </c>
    </row>
    <row r="105" spans="1:15" x14ac:dyDescent="0.4">
      <c r="A105" s="1" t="s">
        <v>214</v>
      </c>
      <c r="C105" s="15">
        <f>SUM(C98:C104)</f>
        <v>24.43</v>
      </c>
      <c r="E105" s="15">
        <f>SUM(E98:E104)</f>
        <v>8.0404248366013071</v>
      </c>
    </row>
    <row r="106" spans="1:15" x14ac:dyDescent="0.4">
      <c r="A106" s="11" t="s">
        <v>71</v>
      </c>
      <c r="C106" s="15"/>
      <c r="E106" s="15"/>
    </row>
    <row r="107" spans="1:15" x14ac:dyDescent="0.4">
      <c r="C107" s="15"/>
      <c r="E107" s="15"/>
    </row>
    <row r="108" spans="1:15" x14ac:dyDescent="0.4">
      <c r="A108" s="29" t="s">
        <v>165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17">
        <v>1</v>
      </c>
    </row>
    <row r="109" spans="1:15" x14ac:dyDescent="0.4">
      <c r="A109" t="s">
        <v>166</v>
      </c>
      <c r="B109" t="s">
        <v>167</v>
      </c>
      <c r="C109" s="15">
        <v>3.65</v>
      </c>
      <c r="D109" t="s">
        <v>277</v>
      </c>
      <c r="E109" s="15">
        <f>(2/12)*3.65</f>
        <v>0.60833333333333328</v>
      </c>
      <c r="F109" s="14" t="s">
        <v>825</v>
      </c>
    </row>
    <row r="110" spans="1:15" x14ac:dyDescent="0.4">
      <c r="A110" t="s">
        <v>168</v>
      </c>
      <c r="B110" t="s">
        <v>169</v>
      </c>
      <c r="C110" s="15">
        <v>1.65</v>
      </c>
      <c r="D110" t="s">
        <v>826</v>
      </c>
      <c r="E110" s="15">
        <f>1.65/11</f>
        <v>0.15</v>
      </c>
      <c r="F110" s="14" t="s">
        <v>827</v>
      </c>
    </row>
    <row r="111" spans="1:15" x14ac:dyDescent="0.4">
      <c r="A111" t="s">
        <v>170</v>
      </c>
      <c r="B111" t="s">
        <v>68</v>
      </c>
      <c r="C111" s="15">
        <v>3.29</v>
      </c>
      <c r="D111" t="s">
        <v>670</v>
      </c>
      <c r="E111" s="15">
        <f>3.29/180</f>
        <v>1.8277777777777778E-2</v>
      </c>
      <c r="F111" s="14" t="s">
        <v>828</v>
      </c>
    </row>
    <row r="112" spans="1:15" x14ac:dyDescent="0.4">
      <c r="A112" t="s">
        <v>171</v>
      </c>
      <c r="B112" t="s">
        <v>172</v>
      </c>
      <c r="C112" s="15">
        <v>1.65</v>
      </c>
      <c r="D112" t="s">
        <v>829</v>
      </c>
      <c r="E112" s="15">
        <f>1.65/72</f>
        <v>2.2916666666666665E-2</v>
      </c>
      <c r="F112" s="14" t="s">
        <v>830</v>
      </c>
    </row>
    <row r="113" spans="1:6" x14ac:dyDescent="0.4">
      <c r="A113" t="s">
        <v>162</v>
      </c>
      <c r="B113" s="8" t="s">
        <v>173</v>
      </c>
      <c r="C113" s="15">
        <v>0.65</v>
      </c>
      <c r="D113" t="s">
        <v>822</v>
      </c>
      <c r="E113" s="15">
        <f>0.65/2</f>
        <v>0.32500000000000001</v>
      </c>
      <c r="F113" t="s">
        <v>69</v>
      </c>
    </row>
    <row r="114" spans="1:6" x14ac:dyDescent="0.4">
      <c r="A114" t="s">
        <v>174</v>
      </c>
      <c r="B114" t="s">
        <v>175</v>
      </c>
      <c r="C114" s="15">
        <v>3.29</v>
      </c>
      <c r="D114" t="s">
        <v>802</v>
      </c>
      <c r="E114" s="15">
        <f>(1/6)*3.29</f>
        <v>0.54833333333333334</v>
      </c>
      <c r="F114" t="s">
        <v>69</v>
      </c>
    </row>
    <row r="115" spans="1:6" x14ac:dyDescent="0.4">
      <c r="A115" t="s">
        <v>176</v>
      </c>
      <c r="B115" t="s">
        <v>167</v>
      </c>
      <c r="C115" s="15">
        <v>0.22</v>
      </c>
      <c r="D115" t="s">
        <v>831</v>
      </c>
      <c r="E115" s="15">
        <f>0.33*0.22</f>
        <v>7.2599999999999998E-2</v>
      </c>
      <c r="F115" s="14" t="s">
        <v>832</v>
      </c>
    </row>
    <row r="116" spans="1:6" x14ac:dyDescent="0.4">
      <c r="A116" t="s">
        <v>177</v>
      </c>
      <c r="B116" t="s">
        <v>173</v>
      </c>
      <c r="C116" s="15">
        <v>0.79</v>
      </c>
      <c r="D116" t="s">
        <v>833</v>
      </c>
      <c r="E116" s="15">
        <f>0.5*0.79</f>
        <v>0.39500000000000002</v>
      </c>
      <c r="F116" s="14" t="s">
        <v>834</v>
      </c>
    </row>
    <row r="117" spans="1:6" x14ac:dyDescent="0.4">
      <c r="A117" t="s">
        <v>178</v>
      </c>
      <c r="B117" t="s">
        <v>179</v>
      </c>
      <c r="C117" s="15">
        <v>2.4500000000000002</v>
      </c>
      <c r="D117">
        <v>3</v>
      </c>
      <c r="E117" s="15">
        <f>(1/12)*2.45</f>
        <v>0.20416666666666666</v>
      </c>
      <c r="F117" s="14" t="s">
        <v>835</v>
      </c>
    </row>
    <row r="118" spans="1:6" x14ac:dyDescent="0.4">
      <c r="A118" t="s">
        <v>180</v>
      </c>
      <c r="B118" t="s">
        <v>38</v>
      </c>
      <c r="C118" s="15" t="s">
        <v>284</v>
      </c>
      <c r="D118" s="15" t="s">
        <v>284</v>
      </c>
      <c r="E118" s="15" t="s">
        <v>284</v>
      </c>
      <c r="F118" s="14"/>
    </row>
    <row r="119" spans="1:6" x14ac:dyDescent="0.4">
      <c r="A119" t="s">
        <v>26</v>
      </c>
      <c r="B119" t="s">
        <v>182</v>
      </c>
      <c r="C119" s="15">
        <f>4.05+0.85</f>
        <v>4.8999999999999995</v>
      </c>
      <c r="D119" t="s">
        <v>762</v>
      </c>
      <c r="E119" s="15">
        <f>(4.05/45)+(0.85/123)</f>
        <v>9.6910569105691055E-2</v>
      </c>
      <c r="F119" t="s">
        <v>69</v>
      </c>
    </row>
    <row r="120" spans="1:6" x14ac:dyDescent="0.4">
      <c r="A120" s="1" t="s">
        <v>214</v>
      </c>
      <c r="C120" s="15">
        <f>SUM(C109:C119)</f>
        <v>22.54</v>
      </c>
      <c r="E120" s="15">
        <f>SUM(E109:E119)</f>
        <v>2.4415383468834686</v>
      </c>
    </row>
    <row r="121" spans="1:6" x14ac:dyDescent="0.4">
      <c r="A121" s="11" t="s">
        <v>71</v>
      </c>
      <c r="C121" s="15"/>
      <c r="E121" s="15"/>
    </row>
    <row r="122" spans="1:6" x14ac:dyDescent="0.4">
      <c r="C122" s="15"/>
      <c r="E122" s="15"/>
    </row>
  </sheetData>
  <mergeCells count="10">
    <mergeCell ref="A97:N97"/>
    <mergeCell ref="A108:N108"/>
    <mergeCell ref="A3:N3"/>
    <mergeCell ref="A14:N14"/>
    <mergeCell ref="A24:N24"/>
    <mergeCell ref="A35:N35"/>
    <mergeCell ref="A49:N49"/>
    <mergeCell ref="A61:N61"/>
    <mergeCell ref="A70:N70"/>
    <mergeCell ref="A86:N86"/>
  </mergeCells>
  <hyperlinks>
    <hyperlink ref="F4" r:id="rId1" xr:uid="{DC51A52E-FD40-434F-9E56-DBFF5D901443}"/>
    <hyperlink ref="F7" r:id="rId2" xr:uid="{15E769E0-52E6-40FD-B873-4039ABE6EC9D}"/>
    <hyperlink ref="F6" r:id="rId3" xr:uid="{5A2279DB-86E4-4A41-A36C-3FB21B1E3613}"/>
    <hyperlink ref="F5" r:id="rId4" xr:uid="{3C87FCD8-9134-401D-AAEE-39299325C8CD}"/>
    <hyperlink ref="F9" r:id="rId5" xr:uid="{638AE3D9-191F-4ABB-9403-28127B729844}"/>
    <hyperlink ref="F10" r:id="rId6" xr:uid="{ACCFCE1C-6D0E-467E-9C4B-DB9E61745EC0}"/>
    <hyperlink ref="F15" r:id="rId7" xr:uid="{04452118-151F-4EFE-A505-736C21AFFEA0}"/>
    <hyperlink ref="F16" r:id="rId8" xr:uid="{92D7A7F4-B21B-41C3-B00F-9CD4A803D48E}"/>
    <hyperlink ref="F17" r:id="rId9" xr:uid="{CF40A110-E116-483A-AEE7-EBD5F734DCCC}"/>
    <hyperlink ref="F18" r:id="rId10" xr:uid="{2D6E6363-66EF-4051-A505-81AD529C01AB}"/>
    <hyperlink ref="F19" r:id="rId11" xr:uid="{BC0DD53F-3D5E-4366-BE4B-2147B22F5802}"/>
    <hyperlink ref="F20" r:id="rId12" xr:uid="{512AC532-AD11-47A8-A166-512D955D91E3}"/>
    <hyperlink ref="F25" r:id="rId13" xr:uid="{ED38CA6D-7208-4027-A7FB-4D30191EBE3A}"/>
    <hyperlink ref="F26" r:id="rId14" xr:uid="{F29D79D9-3B3B-4F85-BFF5-CC2DD2009561}"/>
    <hyperlink ref="F29" r:id="rId15" xr:uid="{BB8C74AF-E0DA-4356-807B-2F127C3C9B32}"/>
    <hyperlink ref="F28" r:id="rId16" xr:uid="{C926B522-8FF3-4939-8894-72918088A433}"/>
    <hyperlink ref="F27" r:id="rId17" xr:uid="{C2C75B20-9FE3-4079-A99F-A10440046F85}"/>
    <hyperlink ref="F37" r:id="rId18" xr:uid="{C17E81DD-9BE0-43A5-8F10-F63089F19C7C}"/>
    <hyperlink ref="F36" r:id="rId19" xr:uid="{67459882-6CCD-42CE-9E9F-6D1B4CA3B22C}"/>
    <hyperlink ref="F38" r:id="rId20" xr:uid="{12E660D8-D8E1-4D9E-AB9C-5EBACAAC3743}"/>
    <hyperlink ref="F39" r:id="rId21" xr:uid="{52FF1CF7-CC20-463A-BE6C-1BD163140E72}"/>
    <hyperlink ref="F40" r:id="rId22" xr:uid="{9A6AE8EC-8EE9-4D5F-BE91-AE1CCA8BC7E1}"/>
    <hyperlink ref="F41" r:id="rId23" xr:uid="{2A8A86E2-078F-403E-9361-8535F14D3694}"/>
    <hyperlink ref="F44" r:id="rId24" xr:uid="{1501FAA9-FE81-4A89-B2D7-B908FAAAAE83}"/>
    <hyperlink ref="F45" r:id="rId25" xr:uid="{05868AF6-14B8-47A5-879E-E32B907C8A0F}"/>
    <hyperlink ref="F50" r:id="rId26" xr:uid="{6DFFFB0C-D6F1-4ACD-B1F9-580AB8C04A74}"/>
    <hyperlink ref="F51" r:id="rId27" xr:uid="{5F289087-C139-427B-834E-895E7D8ECA8A}"/>
    <hyperlink ref="F52" r:id="rId28" xr:uid="{1204E042-DC91-4A50-BB8C-6828D19A1291}"/>
    <hyperlink ref="F56" r:id="rId29" xr:uid="{EDBDC142-5E54-4C86-B8AE-5E440DAC1157}"/>
    <hyperlink ref="F53" r:id="rId30" xr:uid="{19BC0233-F508-48D3-8856-798F17B64A33}"/>
    <hyperlink ref="F57" r:id="rId31" xr:uid="{47246E82-09B6-4EB3-892B-2D457557B4DE}"/>
    <hyperlink ref="F64" r:id="rId32" xr:uid="{2213DEA9-C70E-43D5-A4CF-7FD833728D72}"/>
    <hyperlink ref="F62" r:id="rId33" xr:uid="{DF8EC3DA-8752-41EB-8E02-18EF51662879}"/>
    <hyperlink ref="F66" r:id="rId34" xr:uid="{2554D60C-3806-41AA-B1E4-CDB797032806}"/>
    <hyperlink ref="F65" r:id="rId35" xr:uid="{71DD7931-6C28-49F8-BDFF-F172C3CC2C6A}"/>
    <hyperlink ref="F71" r:id="rId36" xr:uid="{B8CCAB5C-5E86-4400-B321-588BA1D31992}"/>
    <hyperlink ref="F76" r:id="rId37" xr:uid="{0708A847-0709-46E3-817C-9D7698E91011}"/>
    <hyperlink ref="F73" r:id="rId38" xr:uid="{FCF4511F-FDCD-4175-B6DC-EB51012EA4A6}"/>
    <hyperlink ref="F77" r:id="rId39" xr:uid="{F63ADB23-F15E-484F-BCAB-CFE3B1ED16C9}"/>
    <hyperlink ref="F81" r:id="rId40" xr:uid="{67EA005C-2DC3-4361-BC88-48980F3FADA6}"/>
    <hyperlink ref="F89" r:id="rId41" xr:uid="{FB3888D7-4187-4FC0-8A48-999D29553617}"/>
    <hyperlink ref="F101" r:id="rId42" xr:uid="{5E5F8BCE-50EA-42F1-947E-57D70BE3FD38}"/>
    <hyperlink ref="F100" r:id="rId43" xr:uid="{E1C23B3B-93E1-44E5-80CD-A92DEFE332EF}"/>
    <hyperlink ref="F112" r:id="rId44" xr:uid="{AFD9F4AD-68F7-44E5-A5C1-4FBEBE83AD6C}"/>
    <hyperlink ref="F111" r:id="rId45" xr:uid="{82867AAE-CDC5-416F-A6E3-50E9CADCC1C0}"/>
    <hyperlink ref="F110" r:id="rId46" xr:uid="{E1452AC4-01CD-4C1F-8FDB-EC7F42362B5F}"/>
    <hyperlink ref="F109" r:id="rId47" xr:uid="{F262F589-F310-481F-8913-E0EB2FE9CCBF}"/>
    <hyperlink ref="F116" r:id="rId48" xr:uid="{56376AAF-8D7C-44C6-AE18-A233D1F8DFF9}"/>
    <hyperlink ref="F115" r:id="rId49" xr:uid="{F22E5584-A53B-4EEA-8F73-D9FC78709BE5}"/>
    <hyperlink ref="F117" r:id="rId50" xr:uid="{AD12F885-32EF-49EA-9CA6-2BBBF30F035B}"/>
    <hyperlink ref="F78" r:id="rId51" xr:uid="{287C4FB2-C00F-4AEB-A8AB-5A1B1DD94961}"/>
    <hyperlink ref="F82" r:id="rId52" xr:uid="{80B98C3F-9161-4F38-87B4-429D1A176C10}"/>
    <hyperlink ref="F8" r:id="rId53" xr:uid="{120AF158-0185-46AE-8867-F85CB15BB4AA}"/>
    <hyperlink ref="N8" r:id="rId54" xr:uid="{2F315A38-719E-4463-B87A-E2810C31B99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8D61-8604-41CB-BEAB-A1CCFEF7A133}">
  <dimension ref="A1:Q122"/>
  <sheetViews>
    <sheetView topLeftCell="B106" workbookViewId="0">
      <selection activeCell="G38" sqref="G38"/>
    </sheetView>
  </sheetViews>
  <sheetFormatPr defaultRowHeight="14.6" x14ac:dyDescent="0.4"/>
  <cols>
    <col min="1" max="1" width="19.3828125" customWidth="1"/>
    <col min="2" max="2" width="16.84375" bestFit="1" customWidth="1"/>
    <col min="4" max="4" width="15.69140625" bestFit="1" customWidth="1"/>
    <col min="5" max="5" width="11.3828125" bestFit="1" customWidth="1"/>
  </cols>
  <sheetData>
    <row r="1" spans="1:17" x14ac:dyDescent="0.4">
      <c r="A1" s="6" t="s">
        <v>0</v>
      </c>
      <c r="B1" s="7" t="s">
        <v>195</v>
      </c>
      <c r="C1" s="16" t="s">
        <v>196</v>
      </c>
      <c r="D1" s="6" t="s">
        <v>197</v>
      </c>
      <c r="E1" s="16" t="s">
        <v>198</v>
      </c>
      <c r="F1" s="6" t="s">
        <v>8</v>
      </c>
      <c r="G1" s="6"/>
      <c r="H1" s="6"/>
      <c r="I1" s="6"/>
      <c r="J1" s="6"/>
      <c r="K1" s="6"/>
      <c r="L1" s="6"/>
      <c r="M1" s="6"/>
      <c r="N1" s="6"/>
      <c r="O1" s="6"/>
      <c r="P1" s="1"/>
      <c r="Q1" s="1"/>
    </row>
    <row r="2" spans="1:17" x14ac:dyDescent="0.4">
      <c r="A2" s="1"/>
      <c r="C2" s="15"/>
      <c r="E2" s="15"/>
    </row>
    <row r="3" spans="1:17" x14ac:dyDescent="0.4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7">
        <v>6</v>
      </c>
    </row>
    <row r="4" spans="1:17" x14ac:dyDescent="0.4">
      <c r="A4" t="s">
        <v>11</v>
      </c>
      <c r="B4" t="s">
        <v>12</v>
      </c>
      <c r="C4" s="15">
        <v>2.1800000000000002</v>
      </c>
      <c r="D4" t="s">
        <v>262</v>
      </c>
      <c r="E4" s="15">
        <v>2.1800000000000002</v>
      </c>
      <c r="F4" s="14" t="s">
        <v>836</v>
      </c>
    </row>
    <row r="5" spans="1:17" x14ac:dyDescent="0.4">
      <c r="A5" t="s">
        <v>15</v>
      </c>
      <c r="B5" t="s">
        <v>16</v>
      </c>
      <c r="C5" s="15">
        <v>2.63</v>
      </c>
      <c r="D5" t="s">
        <v>837</v>
      </c>
      <c r="E5" s="15">
        <v>2.63</v>
      </c>
      <c r="F5" s="14" t="s">
        <v>838</v>
      </c>
    </row>
    <row r="6" spans="1:17" x14ac:dyDescent="0.4">
      <c r="A6" t="s">
        <v>203</v>
      </c>
      <c r="B6" t="s">
        <v>204</v>
      </c>
      <c r="C6" s="15">
        <v>5.46</v>
      </c>
      <c r="D6" t="s">
        <v>205</v>
      </c>
      <c r="E6" s="15">
        <v>5.46</v>
      </c>
      <c r="F6" s="14" t="s">
        <v>839</v>
      </c>
    </row>
    <row r="7" spans="1:17" x14ac:dyDescent="0.4">
      <c r="A7" t="s">
        <v>21</v>
      </c>
      <c r="B7" t="s">
        <v>22</v>
      </c>
      <c r="C7" s="15">
        <v>5.94</v>
      </c>
      <c r="D7" t="s">
        <v>840</v>
      </c>
      <c r="E7" s="15">
        <f>(2/34)*5.94</f>
        <v>0.34941176470588237</v>
      </c>
      <c r="F7" s="14" t="s">
        <v>841</v>
      </c>
    </row>
    <row r="8" spans="1:17" x14ac:dyDescent="0.4">
      <c r="A8" t="s">
        <v>26</v>
      </c>
      <c r="B8" t="s">
        <v>27</v>
      </c>
      <c r="C8" s="15">
        <v>1.94</v>
      </c>
      <c r="D8" t="s">
        <v>842</v>
      </c>
      <c r="E8" s="15">
        <v>0.01</v>
      </c>
      <c r="F8" s="14" t="s">
        <v>843</v>
      </c>
    </row>
    <row r="9" spans="1:17" x14ac:dyDescent="0.4">
      <c r="A9" t="s">
        <v>30</v>
      </c>
      <c r="B9" t="s">
        <v>22</v>
      </c>
      <c r="C9" s="15">
        <v>1.87</v>
      </c>
      <c r="D9" t="s">
        <v>844</v>
      </c>
      <c r="E9" s="15">
        <f>(2/7.33)*1.87</f>
        <v>0.51023192360163716</v>
      </c>
      <c r="F9" s="14" t="s">
        <v>845</v>
      </c>
    </row>
    <row r="10" spans="1:17" x14ac:dyDescent="0.4">
      <c r="A10" t="s">
        <v>32</v>
      </c>
      <c r="B10" t="s">
        <v>33</v>
      </c>
      <c r="C10" s="15">
        <v>0.98</v>
      </c>
      <c r="D10" t="s">
        <v>767</v>
      </c>
      <c r="E10" s="15">
        <f>0.5*0.98</f>
        <v>0.49</v>
      </c>
      <c r="F10" s="14" t="s">
        <v>846</v>
      </c>
    </row>
    <row r="11" spans="1:17" x14ac:dyDescent="0.4">
      <c r="A11" s="1" t="s">
        <v>214</v>
      </c>
      <c r="C11" s="15">
        <f>SUM(C4:C10)</f>
        <v>21.000000000000004</v>
      </c>
      <c r="E11" s="15">
        <f>SUM(E4:E10)</f>
        <v>11.629643688307519</v>
      </c>
    </row>
    <row r="12" spans="1:17" x14ac:dyDescent="0.4">
      <c r="A12" s="11" t="s">
        <v>35</v>
      </c>
      <c r="C12" s="15"/>
      <c r="E12" s="15"/>
    </row>
    <row r="13" spans="1:17" x14ac:dyDescent="0.4">
      <c r="A13" s="11"/>
      <c r="C13" s="15"/>
      <c r="E13" s="15"/>
    </row>
    <row r="14" spans="1:17" x14ac:dyDescent="0.4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17">
        <v>1</v>
      </c>
    </row>
    <row r="15" spans="1:17" x14ac:dyDescent="0.4">
      <c r="A15" t="s">
        <v>37</v>
      </c>
      <c r="B15" t="s">
        <v>38</v>
      </c>
      <c r="C15" s="15">
        <v>2.66</v>
      </c>
      <c r="D15" t="s">
        <v>847</v>
      </c>
      <c r="E15" s="15">
        <f>2.66/26</f>
        <v>0.10230769230769231</v>
      </c>
      <c r="F15" s="14" t="s">
        <v>848</v>
      </c>
    </row>
    <row r="16" spans="1:17" x14ac:dyDescent="0.4">
      <c r="A16" t="s">
        <v>41</v>
      </c>
      <c r="B16" t="s">
        <v>38</v>
      </c>
      <c r="C16" s="15">
        <v>0.82</v>
      </c>
      <c r="D16" t="s">
        <v>849</v>
      </c>
      <c r="E16" s="15">
        <f>0.82/2</f>
        <v>0.41</v>
      </c>
      <c r="F16" s="14" t="s">
        <v>850</v>
      </c>
    </row>
    <row r="17" spans="1:15" x14ac:dyDescent="0.4">
      <c r="A17" t="s">
        <v>43</v>
      </c>
      <c r="B17" t="s">
        <v>44</v>
      </c>
      <c r="C17" s="15">
        <v>1.18</v>
      </c>
      <c r="D17" t="s">
        <v>767</v>
      </c>
      <c r="E17" s="15">
        <f>(1/6)*1.18</f>
        <v>0.19666666666666666</v>
      </c>
      <c r="F17" s="14" t="s">
        <v>851</v>
      </c>
    </row>
    <row r="18" spans="1:15" x14ac:dyDescent="0.4">
      <c r="A18" t="s">
        <v>46</v>
      </c>
      <c r="B18" t="s">
        <v>47</v>
      </c>
      <c r="C18" s="15">
        <v>7.94</v>
      </c>
      <c r="D18" t="s">
        <v>205</v>
      </c>
      <c r="E18" s="15">
        <f>(2/90)*7.94</f>
        <v>0.17644444444444446</v>
      </c>
      <c r="F18" s="14" t="s">
        <v>852</v>
      </c>
    </row>
    <row r="19" spans="1:15" x14ac:dyDescent="0.4">
      <c r="A19" t="s">
        <v>222</v>
      </c>
      <c r="B19" t="s">
        <v>38</v>
      </c>
      <c r="C19" s="15">
        <v>2.12</v>
      </c>
      <c r="D19" t="s">
        <v>853</v>
      </c>
      <c r="E19" s="15">
        <f>(1/8)*2.12</f>
        <v>0.26500000000000001</v>
      </c>
      <c r="F19" s="14" t="s">
        <v>854</v>
      </c>
    </row>
    <row r="20" spans="1:15" x14ac:dyDescent="0.4">
      <c r="A20" t="s">
        <v>50</v>
      </c>
      <c r="B20" t="s">
        <v>47</v>
      </c>
      <c r="C20" s="15">
        <v>3.74</v>
      </c>
      <c r="D20" t="s">
        <v>430</v>
      </c>
      <c r="E20" s="15">
        <f>(2/48)*3.74</f>
        <v>0.15583333333333332</v>
      </c>
      <c r="F20" s="14" t="s">
        <v>855</v>
      </c>
    </row>
    <row r="21" spans="1:15" x14ac:dyDescent="0.4">
      <c r="A21" s="1" t="s">
        <v>214</v>
      </c>
      <c r="C21" s="15">
        <f>SUM(C15:C20)</f>
        <v>18.46</v>
      </c>
      <c r="E21" s="15">
        <f>SUM(E15:E20)</f>
        <v>1.3062521367521365</v>
      </c>
    </row>
    <row r="22" spans="1:15" x14ac:dyDescent="0.4">
      <c r="A22" s="12" t="s">
        <v>52</v>
      </c>
      <c r="C22" s="15"/>
      <c r="E22" s="15"/>
    </row>
    <row r="23" spans="1:15" x14ac:dyDescent="0.4">
      <c r="A23" s="10"/>
      <c r="C23" s="15"/>
      <c r="E23" s="15"/>
    </row>
    <row r="24" spans="1:15" x14ac:dyDescent="0.4">
      <c r="A24" s="29" t="s">
        <v>53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17">
        <v>4</v>
      </c>
    </row>
    <row r="25" spans="1:15" x14ac:dyDescent="0.4">
      <c r="A25" t="s">
        <v>54</v>
      </c>
      <c r="B25">
        <v>8</v>
      </c>
      <c r="C25" s="15">
        <v>2.12</v>
      </c>
      <c r="D25" t="s">
        <v>856</v>
      </c>
      <c r="E25" s="15">
        <v>2.12</v>
      </c>
      <c r="F25" s="14" t="s">
        <v>857</v>
      </c>
    </row>
    <row r="26" spans="1:15" x14ac:dyDescent="0.4">
      <c r="A26" t="s">
        <v>56</v>
      </c>
      <c r="B26" t="s">
        <v>57</v>
      </c>
      <c r="C26" s="15">
        <v>2.57</v>
      </c>
      <c r="D26" t="s">
        <v>858</v>
      </c>
      <c r="E26" s="15">
        <f>2.57/16</f>
        <v>0.16062499999999999</v>
      </c>
      <c r="F26" s="14" t="s">
        <v>859</v>
      </c>
    </row>
    <row r="27" spans="1:15" x14ac:dyDescent="0.4">
      <c r="A27" s="3" t="s">
        <v>60</v>
      </c>
      <c r="B27" t="s">
        <v>61</v>
      </c>
      <c r="C27" s="15">
        <f>8.82</f>
        <v>8.82</v>
      </c>
      <c r="D27" t="s">
        <v>860</v>
      </c>
      <c r="E27" s="15">
        <f>(2/3)*8.82</f>
        <v>5.88</v>
      </c>
      <c r="F27" s="14" t="s">
        <v>861</v>
      </c>
    </row>
    <row r="28" spans="1:15" x14ac:dyDescent="0.4">
      <c r="A28" t="s">
        <v>63</v>
      </c>
      <c r="B28" t="s">
        <v>64</v>
      </c>
      <c r="C28" s="15">
        <v>0.86</v>
      </c>
      <c r="D28" t="s">
        <v>64</v>
      </c>
      <c r="E28" s="15">
        <v>0.86</v>
      </c>
      <c r="F28" s="14" t="s">
        <v>862</v>
      </c>
    </row>
    <row r="29" spans="1:15" x14ac:dyDescent="0.4">
      <c r="A29" t="s">
        <v>66</v>
      </c>
      <c r="B29" t="s">
        <v>12</v>
      </c>
      <c r="C29" s="15">
        <v>1.97</v>
      </c>
      <c r="D29" t="s">
        <v>262</v>
      </c>
      <c r="E29" s="15">
        <v>1.97</v>
      </c>
      <c r="F29" s="14" t="s">
        <v>863</v>
      </c>
    </row>
    <row r="30" spans="1:15" x14ac:dyDescent="0.4">
      <c r="A30" t="s">
        <v>26</v>
      </c>
      <c r="B30" t="s">
        <v>68</v>
      </c>
      <c r="C30" s="15">
        <v>1.94</v>
      </c>
      <c r="D30" t="s">
        <v>842</v>
      </c>
      <c r="E30" s="15">
        <v>0.01</v>
      </c>
      <c r="F30" t="s">
        <v>69</v>
      </c>
    </row>
    <row r="31" spans="1:15" x14ac:dyDescent="0.4">
      <c r="A31" t="s">
        <v>70</v>
      </c>
      <c r="B31" t="s">
        <v>229</v>
      </c>
      <c r="C31" s="15">
        <v>5.94</v>
      </c>
      <c r="D31" t="s">
        <v>840</v>
      </c>
      <c r="E31" s="15">
        <f>5.94/34</f>
        <v>0.17470588235294118</v>
      </c>
      <c r="F31" t="s">
        <v>69</v>
      </c>
    </row>
    <row r="32" spans="1:15" x14ac:dyDescent="0.4">
      <c r="A32" s="1" t="s">
        <v>214</v>
      </c>
      <c r="C32" s="15">
        <f>SUM(C25:C31)</f>
        <v>24.220000000000002</v>
      </c>
      <c r="E32" s="15">
        <f>SUM(E25:E31)</f>
        <v>11.17533088235294</v>
      </c>
    </row>
    <row r="33" spans="1:15" x14ac:dyDescent="0.4">
      <c r="A33" s="11" t="s">
        <v>71</v>
      </c>
      <c r="C33" s="15"/>
      <c r="E33" s="15"/>
    </row>
    <row r="34" spans="1:15" x14ac:dyDescent="0.4">
      <c r="A34" s="1"/>
      <c r="C34" s="15"/>
      <c r="E34" s="15"/>
    </row>
    <row r="35" spans="1:15" x14ac:dyDescent="0.4">
      <c r="A35" s="29" t="s">
        <v>72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17">
        <v>6</v>
      </c>
    </row>
    <row r="36" spans="1:15" x14ac:dyDescent="0.4">
      <c r="A36" s="3" t="s">
        <v>73</v>
      </c>
      <c r="B36" t="s">
        <v>74</v>
      </c>
      <c r="C36" s="19">
        <v>6.26</v>
      </c>
      <c r="D36" s="20" t="s">
        <v>74</v>
      </c>
      <c r="E36" s="19">
        <v>6.26</v>
      </c>
      <c r="F36" s="14" t="s">
        <v>864</v>
      </c>
      <c r="G36" s="2"/>
      <c r="H36" s="2"/>
      <c r="I36" s="2"/>
      <c r="J36" s="2"/>
      <c r="K36" s="2"/>
      <c r="L36" s="2"/>
      <c r="M36" s="2"/>
      <c r="N36" s="2"/>
    </row>
    <row r="37" spans="1:15" x14ac:dyDescent="0.4">
      <c r="A37" s="3" t="s">
        <v>76</v>
      </c>
      <c r="B37" s="18">
        <v>1</v>
      </c>
      <c r="C37" s="19">
        <v>0.78</v>
      </c>
      <c r="D37" s="20" t="s">
        <v>77</v>
      </c>
      <c r="E37" s="19">
        <v>0.78</v>
      </c>
      <c r="F37" s="14" t="s">
        <v>865</v>
      </c>
      <c r="G37" s="19"/>
      <c r="H37" s="14"/>
      <c r="I37" s="2"/>
      <c r="J37" s="2"/>
      <c r="K37" s="2"/>
      <c r="L37" s="2"/>
      <c r="M37" s="2"/>
      <c r="N37" s="2"/>
    </row>
    <row r="38" spans="1:15" x14ac:dyDescent="0.4">
      <c r="A38" t="s">
        <v>79</v>
      </c>
      <c r="B38" t="s">
        <v>64</v>
      </c>
      <c r="C38" s="19">
        <v>0.96</v>
      </c>
      <c r="D38" s="20" t="s">
        <v>64</v>
      </c>
      <c r="E38" s="19">
        <v>0.96</v>
      </c>
      <c r="F38" s="14" t="s">
        <v>866</v>
      </c>
      <c r="G38" s="2"/>
      <c r="H38" s="2"/>
      <c r="I38" s="2"/>
      <c r="J38" s="2"/>
      <c r="K38" s="2"/>
      <c r="L38" s="2"/>
      <c r="M38" s="2"/>
      <c r="N38" s="2"/>
    </row>
    <row r="39" spans="1:15" x14ac:dyDescent="0.4">
      <c r="A39" t="s">
        <v>82</v>
      </c>
      <c r="B39" t="s">
        <v>83</v>
      </c>
      <c r="C39" s="19">
        <v>0.97</v>
      </c>
      <c r="D39" s="20" t="s">
        <v>83</v>
      </c>
      <c r="E39" s="19">
        <v>0.97</v>
      </c>
      <c r="F39" s="14" t="s">
        <v>867</v>
      </c>
      <c r="G39" s="2"/>
      <c r="H39" s="2"/>
      <c r="I39" s="2"/>
      <c r="J39" s="2"/>
      <c r="K39" s="2"/>
      <c r="L39" s="2"/>
      <c r="M39" s="2"/>
      <c r="N39" s="2"/>
    </row>
    <row r="40" spans="1:15" x14ac:dyDescent="0.4">
      <c r="A40" t="s">
        <v>230</v>
      </c>
      <c r="B40" t="s">
        <v>64</v>
      </c>
      <c r="C40" s="15">
        <v>0.86</v>
      </c>
      <c r="D40" t="s">
        <v>64</v>
      </c>
      <c r="E40" s="15">
        <v>0.86</v>
      </c>
      <c r="F40" s="14" t="s">
        <v>868</v>
      </c>
    </row>
    <row r="41" spans="1:15" x14ac:dyDescent="0.4">
      <c r="A41" t="s">
        <v>89</v>
      </c>
      <c r="B41" t="s">
        <v>64</v>
      </c>
      <c r="C41" s="15">
        <v>0.76</v>
      </c>
      <c r="D41" t="s">
        <v>64</v>
      </c>
      <c r="E41" s="15">
        <v>0.76</v>
      </c>
      <c r="F41" s="14" t="s">
        <v>869</v>
      </c>
    </row>
    <row r="42" spans="1:15" x14ac:dyDescent="0.4">
      <c r="A42" t="s">
        <v>26</v>
      </c>
      <c r="B42" t="s">
        <v>91</v>
      </c>
      <c r="C42" s="15">
        <v>1.94</v>
      </c>
      <c r="D42" t="s">
        <v>842</v>
      </c>
      <c r="E42" s="15">
        <v>0.01</v>
      </c>
      <c r="F42" t="s">
        <v>69</v>
      </c>
    </row>
    <row r="43" spans="1:15" x14ac:dyDescent="0.4">
      <c r="A43" t="s">
        <v>66</v>
      </c>
      <c r="B43" t="s">
        <v>92</v>
      </c>
      <c r="C43" s="15">
        <v>1.97</v>
      </c>
      <c r="D43" t="s">
        <v>262</v>
      </c>
      <c r="E43" s="15">
        <v>1.97</v>
      </c>
      <c r="F43" t="s">
        <v>69</v>
      </c>
    </row>
    <row r="44" spans="1:15" x14ac:dyDescent="0.4">
      <c r="A44" t="s">
        <v>93</v>
      </c>
      <c r="B44" t="s">
        <v>94</v>
      </c>
      <c r="C44" s="15">
        <v>3.97</v>
      </c>
      <c r="D44" t="s">
        <v>262</v>
      </c>
      <c r="E44" s="15">
        <f>0.5*3.97</f>
        <v>1.9850000000000001</v>
      </c>
      <c r="F44" s="14" t="s">
        <v>870</v>
      </c>
    </row>
    <row r="45" spans="1:15" x14ac:dyDescent="0.4">
      <c r="A45" t="s">
        <v>96</v>
      </c>
      <c r="B45" t="s">
        <v>871</v>
      </c>
      <c r="C45" s="15">
        <v>1.24</v>
      </c>
      <c r="D45" t="s">
        <v>205</v>
      </c>
      <c r="E45" s="15">
        <v>1.24</v>
      </c>
      <c r="F45" s="14" t="s">
        <v>872</v>
      </c>
    </row>
    <row r="46" spans="1:15" x14ac:dyDescent="0.4">
      <c r="A46" s="1" t="s">
        <v>214</v>
      </c>
      <c r="C46" s="15">
        <f>SUM(C36:C45)</f>
        <v>19.709999999999997</v>
      </c>
      <c r="E46" s="15">
        <f>SUM(E36:E45)</f>
        <v>15.795</v>
      </c>
    </row>
    <row r="47" spans="1:15" x14ac:dyDescent="0.4">
      <c r="A47" s="11" t="s">
        <v>71</v>
      </c>
      <c r="C47" s="15"/>
      <c r="E47" s="15"/>
    </row>
    <row r="48" spans="1:15" x14ac:dyDescent="0.4">
      <c r="C48" s="15"/>
      <c r="E48" s="15"/>
    </row>
    <row r="49" spans="1:15" x14ac:dyDescent="0.4">
      <c r="A49" s="29" t="s">
        <v>99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17">
        <v>4</v>
      </c>
    </row>
    <row r="50" spans="1:15" x14ac:dyDescent="0.4">
      <c r="A50" t="s">
        <v>100</v>
      </c>
      <c r="B50" t="s">
        <v>101</v>
      </c>
      <c r="C50" s="15">
        <v>5.58</v>
      </c>
      <c r="D50" t="s">
        <v>544</v>
      </c>
      <c r="E50" s="15">
        <f>5.58*(2/19)</f>
        <v>0.58736842105263154</v>
      </c>
      <c r="F50" s="14" t="s">
        <v>873</v>
      </c>
    </row>
    <row r="51" spans="1:15" x14ac:dyDescent="0.4">
      <c r="A51" t="s">
        <v>103</v>
      </c>
      <c r="B51" t="s">
        <v>104</v>
      </c>
      <c r="C51" s="15">
        <v>1.72</v>
      </c>
      <c r="D51" t="s">
        <v>874</v>
      </c>
      <c r="E51" s="15">
        <f>(2/38)*1.72</f>
        <v>9.0526315789473677E-2</v>
      </c>
      <c r="F51" s="14" t="s">
        <v>875</v>
      </c>
    </row>
    <row r="52" spans="1:15" x14ac:dyDescent="0.4">
      <c r="A52" s="3" t="s">
        <v>106</v>
      </c>
      <c r="B52" t="s">
        <v>47</v>
      </c>
      <c r="C52" s="15">
        <v>1.98</v>
      </c>
      <c r="D52" t="s">
        <v>430</v>
      </c>
      <c r="E52" s="15">
        <f>(2/48)*1.98</f>
        <v>8.249999999999999E-2</v>
      </c>
      <c r="F52" s="14" t="s">
        <v>876</v>
      </c>
    </row>
    <row r="53" spans="1:15" x14ac:dyDescent="0.4">
      <c r="A53" s="3" t="s">
        <v>108</v>
      </c>
      <c r="B53" t="s">
        <v>109</v>
      </c>
      <c r="C53" s="15">
        <v>0.92</v>
      </c>
      <c r="D53" t="s">
        <v>877</v>
      </c>
      <c r="E53" s="15">
        <v>0.01</v>
      </c>
      <c r="F53" s="14" t="s">
        <v>878</v>
      </c>
    </row>
    <row r="54" spans="1:15" x14ac:dyDescent="0.4">
      <c r="A54" t="s">
        <v>111</v>
      </c>
      <c r="B54" t="s">
        <v>109</v>
      </c>
      <c r="C54" s="15">
        <v>1.94</v>
      </c>
      <c r="D54" t="s">
        <v>842</v>
      </c>
      <c r="E54" s="15">
        <v>0.01</v>
      </c>
      <c r="F54" t="s">
        <v>69</v>
      </c>
    </row>
    <row r="55" spans="1:15" x14ac:dyDescent="0.4">
      <c r="A55" t="s">
        <v>113</v>
      </c>
      <c r="B55" t="s">
        <v>114</v>
      </c>
      <c r="C55" s="15">
        <v>2.14</v>
      </c>
      <c r="D55" t="s">
        <v>474</v>
      </c>
      <c r="E55" s="15">
        <f>(2.25/4)*2.14</f>
        <v>1.2037500000000001</v>
      </c>
      <c r="F55" s="14" t="s">
        <v>879</v>
      </c>
    </row>
    <row r="56" spans="1:15" x14ac:dyDescent="0.4">
      <c r="A56" t="s">
        <v>116</v>
      </c>
      <c r="B56">
        <v>2</v>
      </c>
      <c r="C56" s="15">
        <v>1.1299999999999999</v>
      </c>
      <c r="D56">
        <v>6</v>
      </c>
      <c r="E56" s="15">
        <f>1.13/3</f>
        <v>0.37666666666666665</v>
      </c>
      <c r="F56" s="14" t="s">
        <v>880</v>
      </c>
    </row>
    <row r="57" spans="1:15" x14ac:dyDescent="0.4">
      <c r="A57" t="s">
        <v>118</v>
      </c>
      <c r="B57" t="s">
        <v>119</v>
      </c>
      <c r="C57" s="15">
        <v>2.97</v>
      </c>
      <c r="D57" t="s">
        <v>881</v>
      </c>
      <c r="E57" s="15">
        <f>(4/32)*2.97</f>
        <v>0.37125000000000002</v>
      </c>
      <c r="F57" s="14" t="s">
        <v>882</v>
      </c>
    </row>
    <row r="58" spans="1:15" x14ac:dyDescent="0.4">
      <c r="A58" s="1" t="s">
        <v>214</v>
      </c>
      <c r="C58" s="15">
        <f>SUM(C50:C57)</f>
        <v>18.38</v>
      </c>
      <c r="E58" s="15">
        <f>SUM(E50:E57)</f>
        <v>2.7320614035087716</v>
      </c>
    </row>
    <row r="59" spans="1:15" x14ac:dyDescent="0.4">
      <c r="A59" s="13" t="s">
        <v>121</v>
      </c>
      <c r="C59" s="15"/>
      <c r="E59" s="15"/>
    </row>
    <row r="60" spans="1:15" x14ac:dyDescent="0.4">
      <c r="A60" s="11"/>
      <c r="C60" s="15"/>
      <c r="E60" s="15"/>
    </row>
    <row r="61" spans="1:15" x14ac:dyDescent="0.4">
      <c r="A61" s="29" t="s">
        <v>122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17">
        <v>2</v>
      </c>
    </row>
    <row r="62" spans="1:15" x14ac:dyDescent="0.4">
      <c r="A62" t="s">
        <v>123</v>
      </c>
      <c r="B62" t="s">
        <v>124</v>
      </c>
      <c r="C62" s="15">
        <v>3.34</v>
      </c>
      <c r="D62" t="s">
        <v>883</v>
      </c>
      <c r="E62" s="15">
        <f>(3/5.25)*3.34</f>
        <v>1.9085714285714284</v>
      </c>
      <c r="F62" s="14" t="s">
        <v>884</v>
      </c>
    </row>
    <row r="63" spans="1:15" x14ac:dyDescent="0.4">
      <c r="A63" t="s">
        <v>126</v>
      </c>
      <c r="B63" t="s">
        <v>127</v>
      </c>
      <c r="C63" s="15">
        <f>8.82</f>
        <v>8.82</v>
      </c>
      <c r="D63" t="s">
        <v>885</v>
      </c>
      <c r="E63" s="15">
        <f>0.25*8.82</f>
        <v>2.2050000000000001</v>
      </c>
      <c r="F63" t="s">
        <v>69</v>
      </c>
    </row>
    <row r="64" spans="1:15" x14ac:dyDescent="0.4">
      <c r="A64" t="s">
        <v>134</v>
      </c>
      <c r="B64" t="s">
        <v>38</v>
      </c>
      <c r="C64" s="15">
        <v>2.08</v>
      </c>
      <c r="D64" t="s">
        <v>446</v>
      </c>
      <c r="E64" s="15">
        <f>(0.25/1.5)*2.08</f>
        <v>0.34666666666666668</v>
      </c>
      <c r="F64" s="14" t="s">
        <v>886</v>
      </c>
    </row>
    <row r="65" spans="1:15" x14ac:dyDescent="0.4">
      <c r="A65" s="3" t="s">
        <v>137</v>
      </c>
      <c r="B65" t="s">
        <v>138</v>
      </c>
      <c r="C65" s="15">
        <v>1.42</v>
      </c>
      <c r="D65" t="s">
        <v>728</v>
      </c>
      <c r="E65" s="15">
        <f>1.42/20</f>
        <v>7.0999999999999994E-2</v>
      </c>
      <c r="F65" s="14" t="s">
        <v>887</v>
      </c>
    </row>
    <row r="66" spans="1:15" x14ac:dyDescent="0.4">
      <c r="A66" t="s">
        <v>140</v>
      </c>
      <c r="B66" t="s">
        <v>22</v>
      </c>
      <c r="C66" s="15">
        <v>1.97</v>
      </c>
      <c r="D66" t="s">
        <v>881</v>
      </c>
      <c r="E66" s="15">
        <f>1.97/16</f>
        <v>0.123125</v>
      </c>
      <c r="F66" s="14" t="s">
        <v>888</v>
      </c>
    </row>
    <row r="67" spans="1:15" x14ac:dyDescent="0.4">
      <c r="A67" s="1" t="s">
        <v>214</v>
      </c>
      <c r="C67" s="15">
        <f>SUM(C61:C66)</f>
        <v>17.63</v>
      </c>
      <c r="E67" s="15">
        <f>SUM(E61:E66)</f>
        <v>4.6543630952380948</v>
      </c>
    </row>
    <row r="68" spans="1:15" x14ac:dyDescent="0.4">
      <c r="A68" s="13" t="s">
        <v>142</v>
      </c>
      <c r="C68" s="15"/>
      <c r="E68" s="15"/>
    </row>
    <row r="69" spans="1:15" x14ac:dyDescent="0.4">
      <c r="A69" s="11"/>
      <c r="C69" s="15"/>
      <c r="E69" s="15"/>
    </row>
    <row r="70" spans="1:15" x14ac:dyDescent="0.4">
      <c r="A70" s="29" t="s">
        <v>143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17">
        <v>4</v>
      </c>
    </row>
    <row r="71" spans="1:15" x14ac:dyDescent="0.4">
      <c r="A71" t="s">
        <v>144</v>
      </c>
      <c r="B71">
        <v>3</v>
      </c>
      <c r="C71" s="15">
        <v>2.48</v>
      </c>
      <c r="D71">
        <v>3</v>
      </c>
      <c r="E71" s="15">
        <v>2.48</v>
      </c>
      <c r="F71" s="14" t="s">
        <v>889</v>
      </c>
    </row>
    <row r="72" spans="1:15" x14ac:dyDescent="0.4">
      <c r="A72" t="s">
        <v>145</v>
      </c>
      <c r="B72">
        <v>1</v>
      </c>
      <c r="C72" s="15">
        <v>1.27</v>
      </c>
      <c r="D72">
        <v>1</v>
      </c>
      <c r="E72" s="15">
        <v>1.27</v>
      </c>
      <c r="F72" s="14" t="s">
        <v>890</v>
      </c>
    </row>
    <row r="73" spans="1:15" x14ac:dyDescent="0.4">
      <c r="A73" t="s">
        <v>146</v>
      </c>
      <c r="B73">
        <v>1</v>
      </c>
      <c r="C73" s="15">
        <v>1.48</v>
      </c>
      <c r="D73">
        <v>1</v>
      </c>
      <c r="E73" s="15">
        <v>1.48</v>
      </c>
      <c r="F73" s="14" t="s">
        <v>891</v>
      </c>
    </row>
    <row r="74" spans="1:15" x14ac:dyDescent="0.4">
      <c r="A74" t="s">
        <v>147</v>
      </c>
      <c r="B74" t="s">
        <v>148</v>
      </c>
      <c r="C74" s="15">
        <v>5.94</v>
      </c>
      <c r="D74" t="s">
        <v>840</v>
      </c>
      <c r="E74" s="15">
        <f>5.94/34</f>
        <v>0.17470588235294118</v>
      </c>
      <c r="F74" t="s">
        <v>69</v>
      </c>
    </row>
    <row r="75" spans="1:15" x14ac:dyDescent="0.4">
      <c r="A75" t="s">
        <v>73</v>
      </c>
      <c r="B75" t="s">
        <v>149</v>
      </c>
      <c r="C75" s="19">
        <v>6.26</v>
      </c>
      <c r="D75" s="20" t="s">
        <v>74</v>
      </c>
      <c r="E75" s="19">
        <v>6.26</v>
      </c>
      <c r="F75" t="s">
        <v>69</v>
      </c>
    </row>
    <row r="76" spans="1:15" x14ac:dyDescent="0.4">
      <c r="A76" t="s">
        <v>150</v>
      </c>
      <c r="B76" t="s">
        <v>101</v>
      </c>
      <c r="C76" s="15">
        <v>1.5</v>
      </c>
      <c r="D76" t="s">
        <v>474</v>
      </c>
      <c r="E76" s="15">
        <f>1.5*0.5</f>
        <v>0.75</v>
      </c>
      <c r="F76" s="14" t="s">
        <v>892</v>
      </c>
    </row>
    <row r="77" spans="1:15" x14ac:dyDescent="0.4">
      <c r="A77" t="s">
        <v>151</v>
      </c>
      <c r="B77" t="s">
        <v>17</v>
      </c>
      <c r="C77" s="15">
        <v>0.92</v>
      </c>
      <c r="D77" t="s">
        <v>568</v>
      </c>
      <c r="E77" s="15">
        <f>0.92/2.5</f>
        <v>0.36799999999999999</v>
      </c>
      <c r="F77" s="14" t="s">
        <v>893</v>
      </c>
    </row>
    <row r="78" spans="1:15" x14ac:dyDescent="0.4">
      <c r="A78" t="s">
        <v>152</v>
      </c>
      <c r="B78" t="s">
        <v>68</v>
      </c>
      <c r="C78" s="15">
        <v>1.08</v>
      </c>
      <c r="D78" t="s">
        <v>894</v>
      </c>
      <c r="E78" s="15">
        <f>1.08/18</f>
        <v>6.0000000000000005E-2</v>
      </c>
      <c r="F78" s="14" t="s">
        <v>895</v>
      </c>
    </row>
    <row r="79" spans="1:15" x14ac:dyDescent="0.4">
      <c r="A79" t="s">
        <v>111</v>
      </c>
      <c r="B79" t="s">
        <v>68</v>
      </c>
      <c r="C79" s="15">
        <v>1.94</v>
      </c>
      <c r="D79" t="s">
        <v>842</v>
      </c>
      <c r="E79" s="15">
        <v>0.01</v>
      </c>
      <c r="F79" t="s">
        <v>69</v>
      </c>
    </row>
    <row r="80" spans="1:15" x14ac:dyDescent="0.4">
      <c r="A80" t="s">
        <v>153</v>
      </c>
      <c r="B80" t="s">
        <v>148</v>
      </c>
      <c r="C80" s="15">
        <v>1.87</v>
      </c>
      <c r="D80" t="s">
        <v>844</v>
      </c>
      <c r="E80" s="15">
        <f>1.87/7.33</f>
        <v>0.25511596180081858</v>
      </c>
      <c r="F80" t="s">
        <v>69</v>
      </c>
    </row>
    <row r="81" spans="1:15" x14ac:dyDescent="0.4">
      <c r="A81" t="s">
        <v>154</v>
      </c>
      <c r="B81" t="s">
        <v>68</v>
      </c>
      <c r="C81" s="15">
        <v>1.08</v>
      </c>
      <c r="D81" t="s">
        <v>719</v>
      </c>
      <c r="E81" s="15">
        <f>1.08/5</f>
        <v>0.21600000000000003</v>
      </c>
      <c r="F81" s="14" t="s">
        <v>896</v>
      </c>
    </row>
    <row r="82" spans="1:15" x14ac:dyDescent="0.4">
      <c r="A82" t="s">
        <v>155</v>
      </c>
      <c r="B82" t="s">
        <v>68</v>
      </c>
      <c r="C82" s="15">
        <v>1.44</v>
      </c>
      <c r="D82" t="s">
        <v>897</v>
      </c>
      <c r="E82" s="15">
        <f>1.44/24</f>
        <v>0.06</v>
      </c>
      <c r="F82" s="14" t="s">
        <v>898</v>
      </c>
    </row>
    <row r="83" spans="1:15" x14ac:dyDescent="0.4">
      <c r="A83" s="1" t="s">
        <v>214</v>
      </c>
      <c r="C83" s="15">
        <f>SUM(C71:C82)</f>
        <v>27.26</v>
      </c>
      <c r="E83" s="15">
        <f>SUM(E71:E82)</f>
        <v>13.38382184415376</v>
      </c>
    </row>
    <row r="84" spans="1:15" x14ac:dyDescent="0.4">
      <c r="A84" s="11" t="s">
        <v>71</v>
      </c>
      <c r="C84" s="15"/>
      <c r="E84" s="15"/>
    </row>
    <row r="85" spans="1:15" x14ac:dyDescent="0.4">
      <c r="C85" s="15"/>
      <c r="E85" s="15"/>
    </row>
    <row r="86" spans="1:15" x14ac:dyDescent="0.4">
      <c r="A86" s="29" t="s">
        <v>194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17">
        <v>4</v>
      </c>
    </row>
    <row r="87" spans="1:15" x14ac:dyDescent="0.4">
      <c r="A87" t="s">
        <v>73</v>
      </c>
      <c r="B87" t="s">
        <v>149</v>
      </c>
      <c r="C87" s="19">
        <v>6.26</v>
      </c>
      <c r="D87" s="20" t="s">
        <v>74</v>
      </c>
      <c r="E87" s="19">
        <v>6.26</v>
      </c>
      <c r="F87" t="s">
        <v>69</v>
      </c>
    </row>
    <row r="88" spans="1:15" x14ac:dyDescent="0.4">
      <c r="A88" t="s">
        <v>145</v>
      </c>
      <c r="B88" s="9">
        <v>0.5</v>
      </c>
      <c r="C88" s="15">
        <v>1.27</v>
      </c>
      <c r="D88">
        <v>1</v>
      </c>
      <c r="E88" s="15">
        <f>0.5*1.27</f>
        <v>0.63500000000000001</v>
      </c>
      <c r="F88" t="s">
        <v>69</v>
      </c>
    </row>
    <row r="89" spans="1:15" x14ac:dyDescent="0.4">
      <c r="A89" t="s">
        <v>157</v>
      </c>
      <c r="B89" s="8" t="s">
        <v>17</v>
      </c>
      <c r="C89" s="15">
        <v>1.22</v>
      </c>
      <c r="D89" t="s">
        <v>899</v>
      </c>
      <c r="E89" s="15">
        <f>1.22/3.75</f>
        <v>0.32533333333333331</v>
      </c>
      <c r="F89" s="14" t="s">
        <v>900</v>
      </c>
    </row>
    <row r="90" spans="1:15" x14ac:dyDescent="0.4">
      <c r="A90" t="s">
        <v>158</v>
      </c>
      <c r="B90">
        <v>1</v>
      </c>
      <c r="C90" s="15">
        <v>1.1299999999999999</v>
      </c>
      <c r="D90">
        <v>6</v>
      </c>
      <c r="E90" s="15">
        <f>1.13/6</f>
        <v>0.18833333333333332</v>
      </c>
      <c r="F90" t="s">
        <v>69</v>
      </c>
    </row>
    <row r="91" spans="1:15" x14ac:dyDescent="0.4">
      <c r="A91" t="s">
        <v>232</v>
      </c>
      <c r="B91" t="s">
        <v>38</v>
      </c>
      <c r="C91" s="15">
        <v>1.18</v>
      </c>
      <c r="D91" t="s">
        <v>101</v>
      </c>
      <c r="E91" s="15">
        <f>1.18/8</f>
        <v>0.14749999999999999</v>
      </c>
      <c r="F91" t="s">
        <v>69</v>
      </c>
    </row>
    <row r="92" spans="1:15" x14ac:dyDescent="0.4">
      <c r="A92" t="s">
        <v>26</v>
      </c>
      <c r="B92" t="s">
        <v>68</v>
      </c>
      <c r="C92" s="15">
        <v>1.94</v>
      </c>
      <c r="D92" t="s">
        <v>842</v>
      </c>
      <c r="E92" s="15">
        <v>0.01</v>
      </c>
      <c r="F92" t="s">
        <v>69</v>
      </c>
    </row>
    <row r="93" spans="1:15" x14ac:dyDescent="0.4">
      <c r="A93" t="s">
        <v>147</v>
      </c>
      <c r="B93" t="s">
        <v>148</v>
      </c>
      <c r="C93" s="15">
        <v>5.94</v>
      </c>
      <c r="D93" t="s">
        <v>840</v>
      </c>
      <c r="E93" s="15">
        <f>5.94/34</f>
        <v>0.17470588235294118</v>
      </c>
      <c r="F93" t="s">
        <v>69</v>
      </c>
    </row>
    <row r="94" spans="1:15" x14ac:dyDescent="0.4">
      <c r="A94" s="1" t="s">
        <v>214</v>
      </c>
      <c r="C94" s="15">
        <f>SUM(C87:C93)</f>
        <v>18.939999999999998</v>
      </c>
      <c r="E94" s="15">
        <f>SUM(E87:E93)</f>
        <v>7.7408725490196071</v>
      </c>
    </row>
    <row r="95" spans="1:15" x14ac:dyDescent="0.4">
      <c r="A95" s="11" t="s">
        <v>71</v>
      </c>
      <c r="C95" s="15"/>
      <c r="E95" s="15"/>
    </row>
    <row r="96" spans="1:15" x14ac:dyDescent="0.4">
      <c r="C96" s="15"/>
      <c r="E96" s="15"/>
    </row>
    <row r="97" spans="1:15" x14ac:dyDescent="0.4">
      <c r="A97" s="29" t="s">
        <v>159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17">
        <v>4</v>
      </c>
    </row>
    <row r="98" spans="1:15" x14ac:dyDescent="0.4">
      <c r="A98" t="s">
        <v>73</v>
      </c>
      <c r="B98" t="s">
        <v>160</v>
      </c>
      <c r="C98" s="19">
        <v>6.26</v>
      </c>
      <c r="D98" s="20" t="s">
        <v>74</v>
      </c>
      <c r="E98" s="19">
        <f>0.5*6.26</f>
        <v>3.13</v>
      </c>
      <c r="F98" t="s">
        <v>69</v>
      </c>
    </row>
    <row r="99" spans="1:15" x14ac:dyDescent="0.4">
      <c r="A99" t="s">
        <v>161</v>
      </c>
      <c r="B99" t="s">
        <v>17</v>
      </c>
      <c r="C99" s="15">
        <v>0.92</v>
      </c>
      <c r="D99" t="s">
        <v>568</v>
      </c>
      <c r="E99" s="15">
        <f>0.92/2.5</f>
        <v>0.36799999999999999</v>
      </c>
      <c r="F99" t="s">
        <v>69</v>
      </c>
    </row>
    <row r="100" spans="1:15" x14ac:dyDescent="0.4">
      <c r="A100" t="s">
        <v>162</v>
      </c>
      <c r="B100">
        <v>2</v>
      </c>
      <c r="C100" s="15">
        <v>0.55000000000000004</v>
      </c>
      <c r="D100">
        <v>1</v>
      </c>
      <c r="E100" s="15">
        <f>2*0.55</f>
        <v>1.1000000000000001</v>
      </c>
      <c r="F100" s="14" t="s">
        <v>901</v>
      </c>
    </row>
    <row r="101" spans="1:15" x14ac:dyDescent="0.4">
      <c r="A101" t="s">
        <v>163</v>
      </c>
      <c r="B101" t="s">
        <v>17</v>
      </c>
      <c r="C101" s="15">
        <v>1.97</v>
      </c>
      <c r="D101" t="s">
        <v>101</v>
      </c>
      <c r="E101" s="15">
        <f>1.97/2</f>
        <v>0.98499999999999999</v>
      </c>
      <c r="F101" s="14" t="s">
        <v>902</v>
      </c>
    </row>
    <row r="102" spans="1:15" x14ac:dyDescent="0.4">
      <c r="A102" t="s">
        <v>158</v>
      </c>
      <c r="B102">
        <v>2</v>
      </c>
      <c r="C102" s="15">
        <v>1.1299999999999999</v>
      </c>
      <c r="D102">
        <v>6</v>
      </c>
      <c r="E102" s="15">
        <f>1.13/3</f>
        <v>0.37666666666666665</v>
      </c>
      <c r="F102" t="s">
        <v>69</v>
      </c>
    </row>
    <row r="103" spans="1:15" x14ac:dyDescent="0.4">
      <c r="A103" t="s">
        <v>164</v>
      </c>
      <c r="B103">
        <v>4</v>
      </c>
      <c r="C103" s="15">
        <v>2.12</v>
      </c>
      <c r="D103" t="s">
        <v>856</v>
      </c>
      <c r="E103" s="15">
        <f>2.12/2</f>
        <v>1.06</v>
      </c>
      <c r="F103" t="s">
        <v>69</v>
      </c>
    </row>
    <row r="104" spans="1:15" x14ac:dyDescent="0.4">
      <c r="A104" t="s">
        <v>147</v>
      </c>
      <c r="B104" t="s">
        <v>22</v>
      </c>
      <c r="C104" s="15">
        <v>5.94</v>
      </c>
      <c r="D104" t="s">
        <v>840</v>
      </c>
      <c r="E104" s="15">
        <f>(2/34)*5.94</f>
        <v>0.34941176470588237</v>
      </c>
      <c r="F104" t="s">
        <v>69</v>
      </c>
    </row>
    <row r="105" spans="1:15" x14ac:dyDescent="0.4">
      <c r="A105" s="1" t="s">
        <v>214</v>
      </c>
      <c r="C105" s="15">
        <f>SUM(C98:C104)</f>
        <v>18.89</v>
      </c>
      <c r="E105" s="15">
        <f>SUM(E98:E104)</f>
        <v>7.3690784313725501</v>
      </c>
    </row>
    <row r="106" spans="1:15" x14ac:dyDescent="0.4">
      <c r="A106" s="11" t="s">
        <v>71</v>
      </c>
      <c r="C106" s="15"/>
      <c r="E106" s="15"/>
    </row>
    <row r="107" spans="1:15" x14ac:dyDescent="0.4">
      <c r="C107" s="15"/>
      <c r="E107" s="15"/>
    </row>
    <row r="108" spans="1:15" x14ac:dyDescent="0.4">
      <c r="A108" s="29" t="s">
        <v>165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17">
        <v>1</v>
      </c>
    </row>
    <row r="109" spans="1:15" x14ac:dyDescent="0.4">
      <c r="A109" t="s">
        <v>166</v>
      </c>
      <c r="B109" t="s">
        <v>167</v>
      </c>
      <c r="C109" s="15">
        <v>2.14</v>
      </c>
      <c r="D109" t="s">
        <v>277</v>
      </c>
      <c r="E109" s="15">
        <f>2.14/6</f>
        <v>0.35666666666666669</v>
      </c>
      <c r="F109" s="14" t="s">
        <v>903</v>
      </c>
    </row>
    <row r="110" spans="1:15" x14ac:dyDescent="0.4">
      <c r="A110" t="s">
        <v>168</v>
      </c>
      <c r="B110" t="s">
        <v>169</v>
      </c>
      <c r="C110" s="15">
        <v>1.88</v>
      </c>
      <c r="D110" t="s">
        <v>904</v>
      </c>
      <c r="E110" s="15">
        <f>1.88/16</f>
        <v>0.11749999999999999</v>
      </c>
      <c r="F110" s="14" t="s">
        <v>905</v>
      </c>
    </row>
    <row r="111" spans="1:15" x14ac:dyDescent="0.4">
      <c r="A111" t="s">
        <v>170</v>
      </c>
      <c r="B111" t="s">
        <v>68</v>
      </c>
      <c r="C111" s="15">
        <v>2.12</v>
      </c>
      <c r="D111" t="s">
        <v>906</v>
      </c>
      <c r="E111" s="15">
        <f>2.12/60</f>
        <v>3.5333333333333335E-2</v>
      </c>
      <c r="F111" s="14" t="s">
        <v>907</v>
      </c>
    </row>
    <row r="112" spans="1:15" x14ac:dyDescent="0.4">
      <c r="A112" t="s">
        <v>171</v>
      </c>
      <c r="B112" t="s">
        <v>172</v>
      </c>
      <c r="C112" s="15">
        <v>1.62</v>
      </c>
      <c r="D112" t="s">
        <v>495</v>
      </c>
      <c r="E112" s="15">
        <f>1.62/68</f>
        <v>2.3823529411764709E-2</v>
      </c>
      <c r="F112" s="14" t="s">
        <v>908</v>
      </c>
    </row>
    <row r="113" spans="1:6" x14ac:dyDescent="0.4">
      <c r="A113" t="s">
        <v>162</v>
      </c>
      <c r="B113" s="8" t="s">
        <v>173</v>
      </c>
      <c r="C113" s="15">
        <v>0.55000000000000004</v>
      </c>
      <c r="D113">
        <v>1</v>
      </c>
      <c r="E113" s="15">
        <f>0.5*0.55</f>
        <v>0.27500000000000002</v>
      </c>
      <c r="F113" t="s">
        <v>69</v>
      </c>
    </row>
    <row r="114" spans="1:6" x14ac:dyDescent="0.4">
      <c r="A114" t="s">
        <v>174</v>
      </c>
      <c r="B114" t="s">
        <v>175</v>
      </c>
      <c r="C114" s="15">
        <v>3.34</v>
      </c>
      <c r="D114" t="s">
        <v>883</v>
      </c>
      <c r="E114" s="15">
        <f>3.34/5</f>
        <v>0.66799999999999993</v>
      </c>
      <c r="F114" t="s">
        <v>69</v>
      </c>
    </row>
    <row r="115" spans="1:6" x14ac:dyDescent="0.4">
      <c r="A115" t="s">
        <v>176</v>
      </c>
      <c r="B115" t="s">
        <v>167</v>
      </c>
      <c r="C115" s="15">
        <v>0.23</v>
      </c>
      <c r="D115">
        <v>1</v>
      </c>
      <c r="E115" s="15">
        <f>0.33*0.23</f>
        <v>7.5900000000000009E-2</v>
      </c>
      <c r="F115" s="14" t="s">
        <v>909</v>
      </c>
    </row>
    <row r="116" spans="1:6" x14ac:dyDescent="0.4">
      <c r="A116" t="s">
        <v>177</v>
      </c>
      <c r="B116" t="s">
        <v>173</v>
      </c>
      <c r="C116" s="15">
        <v>0.68</v>
      </c>
      <c r="D116">
        <v>1</v>
      </c>
      <c r="E116" s="15">
        <f>0.5*0.68</f>
        <v>0.34</v>
      </c>
      <c r="F116" s="14" t="s">
        <v>910</v>
      </c>
    </row>
    <row r="117" spans="1:6" x14ac:dyDescent="0.4">
      <c r="A117" t="s">
        <v>178</v>
      </c>
      <c r="B117" t="s">
        <v>179</v>
      </c>
      <c r="C117" s="15">
        <v>0.99</v>
      </c>
      <c r="D117">
        <v>1</v>
      </c>
      <c r="E117" s="15">
        <f>0.25*0.99</f>
        <v>0.2475</v>
      </c>
      <c r="F117" s="14" t="s">
        <v>911</v>
      </c>
    </row>
    <row r="118" spans="1:6" x14ac:dyDescent="0.4">
      <c r="A118" t="s">
        <v>180</v>
      </c>
      <c r="B118" t="s">
        <v>38</v>
      </c>
      <c r="C118" s="15" t="s">
        <v>284</v>
      </c>
      <c r="D118" s="15" t="s">
        <v>284</v>
      </c>
      <c r="E118" s="15" t="s">
        <v>284</v>
      </c>
      <c r="F118" s="15" t="s">
        <v>284</v>
      </c>
    </row>
    <row r="119" spans="1:6" x14ac:dyDescent="0.4">
      <c r="A119" t="s">
        <v>26</v>
      </c>
      <c r="B119" t="s">
        <v>182</v>
      </c>
      <c r="C119" s="15">
        <v>1.94</v>
      </c>
      <c r="D119" t="s">
        <v>842</v>
      </c>
      <c r="E119" s="15">
        <v>0.01</v>
      </c>
      <c r="F119" t="s">
        <v>69</v>
      </c>
    </row>
    <row r="120" spans="1:6" x14ac:dyDescent="0.4">
      <c r="A120" s="1" t="s">
        <v>214</v>
      </c>
      <c r="C120" s="15">
        <f>SUM(C109:C119)</f>
        <v>15.49</v>
      </c>
      <c r="E120" s="15">
        <f>SUM(E109:E119)</f>
        <v>2.1497235294117645</v>
      </c>
    </row>
    <row r="121" spans="1:6" x14ac:dyDescent="0.4">
      <c r="A121" s="11" t="s">
        <v>71</v>
      </c>
      <c r="C121" s="15"/>
      <c r="E121" s="15"/>
    </row>
    <row r="122" spans="1:6" x14ac:dyDescent="0.4">
      <c r="C122" s="15"/>
      <c r="E122" s="15"/>
    </row>
  </sheetData>
  <mergeCells count="10">
    <mergeCell ref="A97:N97"/>
    <mergeCell ref="A108:N108"/>
    <mergeCell ref="A3:N3"/>
    <mergeCell ref="A14:N14"/>
    <mergeCell ref="A24:N24"/>
    <mergeCell ref="A35:N35"/>
    <mergeCell ref="A49:N49"/>
    <mergeCell ref="A61:N61"/>
    <mergeCell ref="A70:N70"/>
    <mergeCell ref="A86:N86"/>
  </mergeCells>
  <hyperlinks>
    <hyperlink ref="F4" r:id="rId1" xr:uid="{79211CCE-BF26-44D1-907E-39D1D3BB035A}"/>
    <hyperlink ref="F5" r:id="rId2" xr:uid="{12164B08-6BC1-4A2B-9642-BAE3BDE4E90C}"/>
    <hyperlink ref="F6" r:id="rId3" xr:uid="{90ABB1B4-3B7F-4F54-A129-69FBE3D19026}"/>
    <hyperlink ref="F7" r:id="rId4" xr:uid="{1B774E29-0F02-4AB8-AB0F-A54C7A6F5926}"/>
    <hyperlink ref="F9" r:id="rId5" xr:uid="{F41B9E56-0353-4ECB-B5D2-FB3C5F655919}"/>
    <hyperlink ref="F10" r:id="rId6" xr:uid="{126B658C-98B5-4888-B0EE-D0C33C083D57}"/>
    <hyperlink ref="F8" r:id="rId7" xr:uid="{961F10EB-73E6-4D50-BD49-104D7E7ADD4B}"/>
    <hyperlink ref="F15" r:id="rId8" xr:uid="{CD52E5D7-F16C-4353-B981-DD0CC96EBCDC}"/>
    <hyperlink ref="F18" r:id="rId9" xr:uid="{8B7DEB18-4F57-4E1F-A86C-28B5628DB414}"/>
    <hyperlink ref="F17" r:id="rId10" xr:uid="{95136120-4B78-4250-8825-6080E83471D9}"/>
    <hyperlink ref="F16" r:id="rId11" xr:uid="{059C2D52-10BD-4E71-B1ED-D9736FE247CC}"/>
    <hyperlink ref="F19" r:id="rId12" xr:uid="{920C0AB2-C5B3-4680-AB40-10DC061F940B}"/>
    <hyperlink ref="F20" r:id="rId13" xr:uid="{747B2C38-2E20-4F6C-A6BC-1FAD6186FB3E}"/>
    <hyperlink ref="F25" r:id="rId14" xr:uid="{681962E1-6975-4BD6-99AB-E8C565F680CE}"/>
    <hyperlink ref="F28" r:id="rId15" xr:uid="{1A94FC0D-FA96-4A62-AD8C-D2984464E316}"/>
    <hyperlink ref="F27" r:id="rId16" xr:uid="{4159A016-A5A3-438D-9051-FCD4F60B7514}"/>
    <hyperlink ref="F26" r:id="rId17" xr:uid="{DD20BA07-B18B-49E0-97DE-1328F70EAF85}"/>
    <hyperlink ref="F29" r:id="rId18" xr:uid="{17DD7018-5D23-4EE3-BE50-9A3CC48CC267}"/>
    <hyperlink ref="F36" r:id="rId19" xr:uid="{200A3E31-48FE-4D4B-96E2-68A953F0E283}"/>
    <hyperlink ref="F37" r:id="rId20" xr:uid="{83EE4F16-DC78-41E7-BAFD-96702BDF9CE6}"/>
    <hyperlink ref="F38" r:id="rId21" xr:uid="{BEF73B8D-915F-4BE7-A9B9-C058DC9AE506}"/>
    <hyperlink ref="F39" r:id="rId22" xr:uid="{3ACF7066-32AE-46B0-B0A2-B72991F736D2}"/>
    <hyperlink ref="F40" r:id="rId23" xr:uid="{6E8BA62E-A7D9-4602-8542-50DAE9B47246}"/>
    <hyperlink ref="F41" r:id="rId24" xr:uid="{D099C06B-1224-48A2-ABF5-FB6614C45DCD}"/>
    <hyperlink ref="F44" r:id="rId25" xr:uid="{6E4622AE-9C0F-474B-8A40-D663FA0D4C7D}"/>
    <hyperlink ref="F45" r:id="rId26" xr:uid="{32F8E625-2A85-44E0-95D0-D69251AE3CB3}"/>
    <hyperlink ref="F50" r:id="rId27" xr:uid="{B0A837D5-4F0A-42E8-B0D7-90557380C09C}"/>
    <hyperlink ref="F51" r:id="rId28" xr:uid="{7F5BD04B-2338-4C63-BF1C-13AD81610118}"/>
    <hyperlink ref="F52" r:id="rId29" xr:uid="{C4D9850E-667A-4E0A-8120-52A9BDBF0D14}"/>
    <hyperlink ref="F53" r:id="rId30" xr:uid="{7D14D65B-2EF2-47B8-95D2-7ED743F60CA9}"/>
    <hyperlink ref="F55" r:id="rId31" xr:uid="{9B174A40-43FA-4CB9-A51E-8680C0E14019}"/>
    <hyperlink ref="F56" r:id="rId32" xr:uid="{1BB3ED66-9FB1-4B41-891B-0356EDF2940A}"/>
    <hyperlink ref="F57" r:id="rId33" xr:uid="{9EED741C-973D-492E-935A-42A954759A40}"/>
    <hyperlink ref="F62" r:id="rId34" xr:uid="{DA743424-0F95-429C-9CC8-D3138687820E}"/>
    <hyperlink ref="F64" r:id="rId35" xr:uid="{CB492826-BC29-45A7-A3B7-FC48A4D709CC}"/>
    <hyperlink ref="F65" r:id="rId36" xr:uid="{86E7209D-3A74-420E-99C9-38EE5A834FB8}"/>
    <hyperlink ref="F66" r:id="rId37" xr:uid="{6412F62E-C6F5-4D85-BC25-AC9852583CE0}"/>
    <hyperlink ref="F71" r:id="rId38" xr:uid="{7B4EF662-EE33-450B-8A48-1254FE0CBB4E}"/>
    <hyperlink ref="F72" r:id="rId39" xr:uid="{529DD333-8609-40F7-B995-8116599F19ED}"/>
    <hyperlink ref="F73" r:id="rId40" xr:uid="{BE0CA20E-EDA2-424F-A86A-02B555E7079F}"/>
    <hyperlink ref="F76" r:id="rId41" xr:uid="{0AD6B7F6-2A1C-4A2A-AEC1-870D70490D7F}"/>
    <hyperlink ref="F77" r:id="rId42" xr:uid="{43735BDC-F37B-452C-B0FE-5B40F3178CDC}"/>
    <hyperlink ref="F78" r:id="rId43" xr:uid="{0FB0EF39-0863-4005-B7C3-A2B85F1EA85E}"/>
    <hyperlink ref="F81" r:id="rId44" xr:uid="{C0441236-4F8E-49AA-98B6-5F21BCB73F39}"/>
    <hyperlink ref="F82" r:id="rId45" xr:uid="{31946AE0-6FC8-491C-ACE7-2B154BA4D371}"/>
    <hyperlink ref="F89" r:id="rId46" xr:uid="{7AF58860-981D-42C4-BDE4-31532E1308D8}"/>
    <hyperlink ref="F100" r:id="rId47" xr:uid="{C8E102AD-4BE5-48CE-A85F-56E131C10A11}"/>
    <hyperlink ref="F101" r:id="rId48" xr:uid="{11B0C683-826A-4604-A652-23A2B50BC0C4}"/>
    <hyperlink ref="F109" r:id="rId49" xr:uid="{3A0C3825-C51D-48AD-A781-E4DE5CFCAAC2}"/>
    <hyperlink ref="F110" r:id="rId50" xr:uid="{C105D49E-1405-4A3E-B333-C149EC5D9761}"/>
    <hyperlink ref="F111" r:id="rId51" xr:uid="{7BAB8ABD-24A7-4504-AD03-FF5D9B6A47D1}"/>
    <hyperlink ref="F112" r:id="rId52" xr:uid="{7EB8D4E7-8FCB-43C7-AC7C-9B7354D0921C}"/>
    <hyperlink ref="F115" r:id="rId53" xr:uid="{6FD2CB2E-4CBC-48A0-9224-8D0C6F3E07F4}"/>
    <hyperlink ref="F116" r:id="rId54" xr:uid="{0855D271-EBF2-442C-B4B3-C2929EE49111}"/>
    <hyperlink ref="F117" r:id="rId55" xr:uid="{D3C04D42-33CB-4016-B6A0-5E85460715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Nutrition</vt:lpstr>
      <vt:lpstr>Master</vt:lpstr>
      <vt:lpstr>Wegmans (F)</vt:lpstr>
      <vt:lpstr>Trader Joes (F)</vt:lpstr>
      <vt:lpstr>Mclanahans (N)</vt:lpstr>
      <vt:lpstr>Weis (N)</vt:lpstr>
      <vt:lpstr>Target D (T)</vt:lpstr>
      <vt:lpstr>Giant (T)</vt:lpstr>
      <vt:lpstr>Sams Club (N)</vt:lpstr>
      <vt:lpstr>Target Up (N)</vt:lpstr>
      <vt:lpstr>Aldi (L)</vt:lpstr>
      <vt:lpstr>Walmart (L)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Nicholas Shuble</cp:lastModifiedBy>
  <cp:revision/>
  <dcterms:created xsi:type="dcterms:W3CDTF">2026-02-02T03:19:57Z</dcterms:created>
  <dcterms:modified xsi:type="dcterms:W3CDTF">2026-04-07T17:29:17Z</dcterms:modified>
  <cp:category/>
  <cp:contentStatus/>
</cp:coreProperties>
</file>