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3387a1e6e41fa80/Desktop/DS440/DS440/backend/"/>
    </mc:Choice>
  </mc:AlternateContent>
  <xr:revisionPtr revIDLastSave="69" documentId="11_7BE191B9D320D01BA160DDF0505ED87656CC9452" xr6:coauthVersionLast="47" xr6:coauthVersionMax="47" xr10:uidLastSave="{76968FBB-2BC7-4205-AE1D-888F77145A95}"/>
  <bookViews>
    <workbookView xWindow="-103" yWindow="-103" windowWidth="26537" windowHeight="1594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0" i="1" l="1"/>
  <c r="N120" i="1"/>
  <c r="O120" i="1"/>
  <c r="P120" i="1"/>
  <c r="L120" i="1"/>
  <c r="M105" i="1"/>
  <c r="N105" i="1"/>
  <c r="O105" i="1"/>
  <c r="P105" i="1"/>
  <c r="L105" i="1"/>
  <c r="M94" i="1"/>
  <c r="N94" i="1"/>
  <c r="O94" i="1"/>
  <c r="P94" i="1"/>
  <c r="L94" i="1"/>
  <c r="M83" i="1"/>
  <c r="N83" i="1"/>
  <c r="O83" i="1"/>
  <c r="P83" i="1"/>
  <c r="L83" i="1"/>
  <c r="M67" i="1"/>
  <c r="N67" i="1"/>
  <c r="O67" i="1"/>
  <c r="P67" i="1"/>
  <c r="L67" i="1"/>
  <c r="M58" i="1"/>
  <c r="N58" i="1"/>
  <c r="O58" i="1"/>
  <c r="P58" i="1"/>
  <c r="L58" i="1"/>
  <c r="M46" i="1"/>
  <c r="N46" i="1"/>
  <c r="O46" i="1"/>
  <c r="P46" i="1"/>
  <c r="L46" i="1"/>
  <c r="M32" i="1"/>
  <c r="N32" i="1"/>
  <c r="O32" i="1"/>
  <c r="P32" i="1"/>
  <c r="L32" i="1"/>
  <c r="M21" i="1"/>
  <c r="N21" i="1"/>
  <c r="O21" i="1"/>
  <c r="P21" i="1"/>
  <c r="L21" i="1"/>
  <c r="M11" i="1"/>
  <c r="N11" i="1"/>
  <c r="O11" i="1"/>
  <c r="P11" i="1"/>
  <c r="L11" i="1"/>
</calcChain>
</file>

<file path=xl/sharedStrings.xml><?xml version="1.0" encoding="utf-8"?>
<sst xmlns="http://schemas.openxmlformats.org/spreadsheetml/2006/main" count="713" uniqueCount="368">
  <si>
    <t>Ingredient</t>
  </si>
  <si>
    <t>Amount (Meal)</t>
  </si>
  <si>
    <t>Amount (USDA)</t>
  </si>
  <si>
    <t>Calories</t>
  </si>
  <si>
    <t>Fat</t>
  </si>
  <si>
    <t>Sodium</t>
  </si>
  <si>
    <t xml:space="preserve">Carbs </t>
  </si>
  <si>
    <t>Protein</t>
  </si>
  <si>
    <t>Link</t>
  </si>
  <si>
    <t>Unnamed: 9</t>
  </si>
  <si>
    <t>Recipe Servings</t>
  </si>
  <si>
    <t>Calories / Serving</t>
  </si>
  <si>
    <t>Fat / Serving (g)</t>
  </si>
  <si>
    <t>Sodium / Serving (mg)</t>
  </si>
  <si>
    <t>Carbs / Serving (g)</t>
  </si>
  <si>
    <t>Protein / Serving (g)</t>
  </si>
  <si>
    <t>USDA: https://fdc.nal.usda.gov/ *if you cant find it on usda, just go to nutrition info on the website link*</t>
  </si>
  <si>
    <t>Baked Feta Pasta - Taryn</t>
  </si>
  <si>
    <t>Baby Spinach</t>
  </si>
  <si>
    <t xml:space="preserve">1 bag </t>
  </si>
  <si>
    <t>100g</t>
  </si>
  <si>
    <t>32.2kcal</t>
  </si>
  <si>
    <t>0.6g</t>
  </si>
  <si>
    <t>110.6mg</t>
  </si>
  <si>
    <t>5.0g</t>
  </si>
  <si>
    <t>4.1g</t>
  </si>
  <si>
    <t>Spinach, baby - Components - Foundation | USDA FoodData Central</t>
  </si>
  <si>
    <t>Cherry Tomatoes</t>
  </si>
  <si>
    <t xml:space="preserve">1 container </t>
  </si>
  <si>
    <t>50.4kcal</t>
  </si>
  <si>
    <t>14.0mg</t>
  </si>
  <si>
    <t>10.9g</t>
  </si>
  <si>
    <t>2.5g</t>
  </si>
  <si>
    <t>Pasta, dry, enriched - Nutrients - SR Legacy | USDA FoodData Central</t>
  </si>
  <si>
    <t>Feta block</t>
  </si>
  <si>
    <t>596.6kcal</t>
  </si>
  <si>
    <t>47.5g</t>
  </si>
  <si>
    <t>2072.4mg</t>
  </si>
  <si>
    <t>9.3g</t>
  </si>
  <si>
    <t>31.6g</t>
  </si>
  <si>
    <t>Cheese, feta - Nutrients - SR Legacy | USDA FoodData Central</t>
  </si>
  <si>
    <t xml:space="preserve">Olive oil  </t>
  </si>
  <si>
    <t xml:space="preserve">2 tbsp </t>
  </si>
  <si>
    <t>1tbsp</t>
  </si>
  <si>
    <t>238.0kcal</t>
  </si>
  <si>
    <t>28.0g</t>
  </si>
  <si>
    <t>0.0mg</t>
  </si>
  <si>
    <t>0.0g</t>
  </si>
  <si>
    <t>Oil, olive, salad or cooking - Nutrients - SR Legacy | USDA FoodData Central</t>
  </si>
  <si>
    <t>Salt/Pepper</t>
  </si>
  <si>
    <t>generous amount</t>
  </si>
  <si>
    <t>1tsp</t>
  </si>
  <si>
    <t>0.0kcal</t>
  </si>
  <si>
    <t>2300.0mg</t>
  </si>
  <si>
    <t>Salt, table, iodized - Nutrients - Foundation | USDA FoodData Central</t>
  </si>
  <si>
    <t>Spices, pepper, black - Nutrients - SR Legacy | USDA FoodData Central</t>
  </si>
  <si>
    <t>Minced garlic</t>
  </si>
  <si>
    <t>30.0kcal</t>
  </si>
  <si>
    <t>2.0mg</t>
  </si>
  <si>
    <t>6.0g</t>
  </si>
  <si>
    <t>2.0g</t>
  </si>
  <si>
    <t>Garlic, raw - Nutrients - Foundation | USDA FoodData Central</t>
  </si>
  <si>
    <t xml:space="preserve">Pasta </t>
  </si>
  <si>
    <t xml:space="preserve">8 oz </t>
  </si>
  <si>
    <t>1oz_dry</t>
  </si>
  <si>
    <t>800.0kcal</t>
  </si>
  <si>
    <t>4.0g</t>
  </si>
  <si>
    <t>168.0g</t>
  </si>
  <si>
    <t>Totals/Meal Total</t>
  </si>
  <si>
    <t>Recipe Reference: https://thespicegirlkitchen.com/creamy-salmon-pasta/</t>
  </si>
  <si>
    <t xml:space="preserve">Overnight Oats - Taryn </t>
  </si>
  <si>
    <t>Old fashioned oats</t>
  </si>
  <si>
    <t>1/4 cup</t>
  </si>
  <si>
    <t>37.5kcal</t>
  </si>
  <si>
    <t>6.8g</t>
  </si>
  <si>
    <t>1.2g</t>
  </si>
  <si>
    <t>Oats, whole grain, rolled, old fashioned - Nutrients - Foundation | USDA FoodData Central</t>
  </si>
  <si>
    <t>Greek yogurt</t>
  </si>
  <si>
    <t>7.5kcal</t>
  </si>
  <si>
    <t>3.8mg</t>
  </si>
  <si>
    <t>0.4g</t>
  </si>
  <si>
    <t>1.1g</t>
  </si>
  <si>
    <t>Yogurt, Greek, plain, nonfat - Nutrients - Foundation | USDA FoodData Central</t>
  </si>
  <si>
    <t>Milk (2%?)</t>
  </si>
  <si>
    <t>1/3 cup</t>
  </si>
  <si>
    <t>1 cup</t>
  </si>
  <si>
    <t>40.7kcal</t>
  </si>
  <si>
    <t>1.6g</t>
  </si>
  <si>
    <t>38.3mg</t>
  </si>
  <si>
    <t>2.7g</t>
  </si>
  <si>
    <t>Milk, reduced fat, fluid, 2% milkfat, with added vitamin A and vitamin D - Nutrients - Foundation | USDA FoodData Central</t>
  </si>
  <si>
    <t>Chia Seeds</t>
  </si>
  <si>
    <t>2 tsp</t>
  </si>
  <si>
    <t>200.0kcal</t>
  </si>
  <si>
    <t>12.0g</t>
  </si>
  <si>
    <t>6.0mg</t>
  </si>
  <si>
    <t>16.0g</t>
  </si>
  <si>
    <t>7.0g</t>
  </si>
  <si>
    <t>Chia seeds, dry, raw - Nutrients - Foundation | USDA FoodData Central</t>
  </si>
  <si>
    <t>Blueberries</t>
  </si>
  <si>
    <t>5.2kcal</t>
  </si>
  <si>
    <t>0.1g</t>
  </si>
  <si>
    <t>Honey</t>
  </si>
  <si>
    <t>1 tsp</t>
  </si>
  <si>
    <t>42.0kcal</t>
  </si>
  <si>
    <t>Honey - Nutrients - SR Legacy | USDA FoodData Central</t>
  </si>
  <si>
    <t>Recipe reference: https://www.allrecipes.com/recipe/244251/no-cook-overnight-oatmeal/</t>
  </si>
  <si>
    <t xml:space="preserve">Quesidilla - Liliana </t>
  </si>
  <si>
    <t>Tortilla (Large?)</t>
  </si>
  <si>
    <t>1 piece</t>
  </si>
  <si>
    <t>1680.0kcal</t>
  </si>
  <si>
    <t>40.0g</t>
  </si>
  <si>
    <t>3600.0mg</t>
  </si>
  <si>
    <t>280.0g</t>
  </si>
  <si>
    <t>48.0g</t>
  </si>
  <si>
    <t>Tortillas, ready-to-bake or -fry, flour, shelf stable</t>
  </si>
  <si>
    <t>Butter</t>
  </si>
  <si>
    <t>1 tbs</t>
  </si>
  <si>
    <t>1 tbsp</t>
  </si>
  <si>
    <t>102.0kcal</t>
  </si>
  <si>
    <t>90.0mg</t>
  </si>
  <si>
    <t>Butter, salted</t>
  </si>
  <si>
    <t>Chicken breast</t>
  </si>
  <si>
    <t>2 breasts</t>
  </si>
  <si>
    <t>100g_raw</t>
  </si>
  <si>
    <t>240.0kcal</t>
  </si>
  <si>
    <t>5.2g</t>
  </si>
  <si>
    <t>46.0g</t>
  </si>
  <si>
    <t>Chicken, breast, boneless, skinless, raw</t>
  </si>
  <si>
    <t>Black beans</t>
  </si>
  <si>
    <t>1 can</t>
  </si>
  <si>
    <t>340.5kcal</t>
  </si>
  <si>
    <t>1.5g</t>
  </si>
  <si>
    <t>15.0mg</t>
  </si>
  <si>
    <t>61.5g</t>
  </si>
  <si>
    <t>22.5g</t>
  </si>
  <si>
    <t>Beans, black, canned, sodium added, drained and rinsed</t>
  </si>
  <si>
    <t>Shredded cheddar cheese</t>
  </si>
  <si>
    <t>113.8kcal</t>
  </si>
  <si>
    <t>9.2g</t>
  </si>
  <si>
    <t>175.5mg</t>
  </si>
  <si>
    <t>Cheese, cheddar</t>
  </si>
  <si>
    <t>Repeat Item</t>
  </si>
  <si>
    <t>Olive oil (sub with vegetable)</t>
  </si>
  <si>
    <t>1 Tbs</t>
  </si>
  <si>
    <t>119.0kcal</t>
  </si>
  <si>
    <t>14.0g</t>
  </si>
  <si>
    <t>Recipe Reference:</t>
  </si>
  <si>
    <t xml:space="preserve">Taco Soup - Liliana </t>
  </si>
  <si>
    <t>Ground Beef</t>
  </si>
  <si>
    <t>1lb</t>
  </si>
  <si>
    <t>1 lb</t>
  </si>
  <si>
    <t>1152.0kcal</t>
  </si>
  <si>
    <t>91.0g</t>
  </si>
  <si>
    <t>300.0mg</t>
  </si>
  <si>
    <t>78.0g</t>
  </si>
  <si>
    <t>Beef, grass-fed, ground, raw</t>
  </si>
  <si>
    <t>Onion (yellow?)</t>
  </si>
  <si>
    <t>1 medium</t>
  </si>
  <si>
    <t>45.0kcal</t>
  </si>
  <si>
    <t>5.0mg</t>
  </si>
  <si>
    <t>11.0g</t>
  </si>
  <si>
    <t>Onions, yellow, raw</t>
  </si>
  <si>
    <t>Diced tomatos</t>
  </si>
  <si>
    <t>1 can_14.5oz</t>
  </si>
  <si>
    <t>100.0kcal</t>
  </si>
  <si>
    <t>600.0mg</t>
  </si>
  <si>
    <t>22.0g</t>
  </si>
  <si>
    <t>Tomatoes, canned, red, ripe, diced</t>
  </si>
  <si>
    <t>Taco seasoning</t>
  </si>
  <si>
    <t>1 packet</t>
  </si>
  <si>
    <t>90.0kcal</t>
  </si>
  <si>
    <t>2200.0mg</t>
  </si>
  <si>
    <t>18.0g</t>
  </si>
  <si>
    <t>Seasoning mix, dry, taco, original</t>
  </si>
  <si>
    <t>Kidney beans</t>
  </si>
  <si>
    <t>322.5kcal</t>
  </si>
  <si>
    <t>55.5g</t>
  </si>
  <si>
    <t>19.5g</t>
  </si>
  <si>
    <t>Kidney beans, from canned, no added fat</t>
  </si>
  <si>
    <t>Sweet corn</t>
  </si>
  <si>
    <t>1 can_15oz</t>
  </si>
  <si>
    <t>280.0kcal</t>
  </si>
  <si>
    <t>800.0mg</t>
  </si>
  <si>
    <t>60.0g</t>
  </si>
  <si>
    <t>8.0g</t>
  </si>
  <si>
    <t>Corn, sweet, white, canned, whole kernel, drained solids</t>
  </si>
  <si>
    <t>A pinch</t>
  </si>
  <si>
    <t>1.5 cup bag</t>
  </si>
  <si>
    <t>455.0kcal</t>
  </si>
  <si>
    <t>37.0g</t>
  </si>
  <si>
    <t>702.0mg</t>
  </si>
  <si>
    <t>Fritos</t>
  </si>
  <si>
    <t>half bag</t>
  </si>
  <si>
    <t>1 oz</t>
  </si>
  <si>
    <t>1280.0kcal</t>
  </si>
  <si>
    <t>80.0g</t>
  </si>
  <si>
    <t>1360.0mg</t>
  </si>
  <si>
    <t>120.0g</t>
  </si>
  <si>
    <t>Corn chips, plain (Fritos)</t>
  </si>
  <si>
    <t>Sour cream</t>
  </si>
  <si>
    <t>1 small tub</t>
  </si>
  <si>
    <t>3.0g</t>
  </si>
  <si>
    <t>10.0mg</t>
  </si>
  <si>
    <t>1.0g</t>
  </si>
  <si>
    <t>0.5g</t>
  </si>
  <si>
    <t>Cream, sour, full fat</t>
  </si>
  <si>
    <t>Pancakes - Nate</t>
  </si>
  <si>
    <t>Whole Wheat Flour</t>
  </si>
  <si>
    <t>2 cups</t>
  </si>
  <si>
    <t>816.0kcal</t>
  </si>
  <si>
    <t>172.0g</t>
  </si>
  <si>
    <t>32.0g</t>
  </si>
  <si>
    <t>Flour, whole wheat, unenriched</t>
  </si>
  <si>
    <t>White Sugar</t>
  </si>
  <si>
    <t>2 tbsp</t>
  </si>
  <si>
    <t>96.0kcal</t>
  </si>
  <si>
    <t>24.0g</t>
  </si>
  <si>
    <t>sugars, granulated</t>
  </si>
  <si>
    <t>Baking Powder</t>
  </si>
  <si>
    <t>10.0kcal</t>
  </si>
  <si>
    <t>960.0mg</t>
  </si>
  <si>
    <t>Leavening agents, baking powder, low-sodium</t>
  </si>
  <si>
    <t>Baking Soda</t>
  </si>
  <si>
    <t>1/2 tsp</t>
  </si>
  <si>
    <t>Leavening agents, baking soda</t>
  </si>
  <si>
    <t>Salt</t>
  </si>
  <si>
    <t>1150.0mg</t>
  </si>
  <si>
    <t>Salt, table</t>
  </si>
  <si>
    <t>Buttermilk</t>
  </si>
  <si>
    <t>2 1/4 cup</t>
  </si>
  <si>
    <t>920.0mg</t>
  </si>
  <si>
    <t>Milk, buttermilk, fluid, whole</t>
  </si>
  <si>
    <t>Eggs</t>
  </si>
  <si>
    <t>144.0kcal</t>
  </si>
  <si>
    <t>10.0g</t>
  </si>
  <si>
    <t>142.0mg</t>
  </si>
  <si>
    <t>0.8g</t>
  </si>
  <si>
    <t>Eggs, Grade A, Large, egg whole</t>
  </si>
  <si>
    <t>Vegetable Oil</t>
  </si>
  <si>
    <t>4 tbsp</t>
  </si>
  <si>
    <t>480.0kcal</t>
  </si>
  <si>
    <t>56.0g</t>
  </si>
  <si>
    <t>Oil, vegetable, soybean, refined</t>
  </si>
  <si>
    <t>Recipe: https://www.allrecipes.com/recipe/232131/100-whole-wheat-pancakes/</t>
  </si>
  <si>
    <t>Chicken Caesar Salad - Nate</t>
  </si>
  <si>
    <t>Romaine Lettuce</t>
  </si>
  <si>
    <t>3 cups</t>
  </si>
  <si>
    <t>24.0kcal</t>
  </si>
  <si>
    <t>0.3g</t>
  </si>
  <si>
    <t>12.0mg</t>
  </si>
  <si>
    <t>4.5g</t>
  </si>
  <si>
    <t>1.8g</t>
  </si>
  <si>
    <t>Lettuce, cos or romaine, raw</t>
  </si>
  <si>
    <t>Chicken Breast</t>
  </si>
  <si>
    <t>1/2 lb</t>
  </si>
  <si>
    <t>1 piece (196g)</t>
  </si>
  <si>
    <t>296 kcal</t>
  </si>
  <si>
    <t>6.21g</t>
  </si>
  <si>
    <t>102mg</t>
  </si>
  <si>
    <t>0g</t>
  </si>
  <si>
    <t>59.8g</t>
  </si>
  <si>
    <t>Chicken, broiler or fryers, breast, skinless, boneless, meat only, cooked, grilled</t>
  </si>
  <si>
    <t>Shredded Parmesan Cheese</t>
  </si>
  <si>
    <t>27.5kcal</t>
  </si>
  <si>
    <t>1.9g</t>
  </si>
  <si>
    <t>100.0mg</t>
  </si>
  <si>
    <t>0.2g</t>
  </si>
  <si>
    <t>Cheese, parmesan, shredded</t>
  </si>
  <si>
    <t>Croutons</t>
  </si>
  <si>
    <t>handful</t>
  </si>
  <si>
    <t>186.0kcal</t>
  </si>
  <si>
    <t>495.0mg</t>
  </si>
  <si>
    <t>25.0g</t>
  </si>
  <si>
    <t>Croutons, seasoned</t>
  </si>
  <si>
    <t>Caesar Salad Dressing</t>
  </si>
  <si>
    <t>320.0kcal</t>
  </si>
  <si>
    <t>34.0g</t>
  </si>
  <si>
    <t>700.0mg</t>
  </si>
  <si>
    <t>Salad dressing, caesar, fat-free</t>
  </si>
  <si>
    <t>Recipe: https://www.allrecipes.com/recipe/246106/classic-chicken-caesar-salad/</t>
  </si>
  <si>
    <t>Unstuffed Peppers - Fiona</t>
  </si>
  <si>
    <t>Bell Peppers</t>
  </si>
  <si>
    <t>0.9g</t>
  </si>
  <si>
    <t>21.0g</t>
  </si>
  <si>
    <t>White Onion</t>
  </si>
  <si>
    <t xml:space="preserve">15 oz can crushed tomatoes </t>
  </si>
  <si>
    <t>140.0kcal</t>
  </si>
  <si>
    <t>1000.0mg</t>
  </si>
  <si>
    <t>Olive Oil</t>
  </si>
  <si>
    <t>1 Tbsp</t>
  </si>
  <si>
    <t>beef broth</t>
  </si>
  <si>
    <t>1800.0mg</t>
  </si>
  <si>
    <t>Rice (white?)</t>
  </si>
  <si>
    <t>1 cup_dry</t>
  </si>
  <si>
    <t>680.0kcal</t>
  </si>
  <si>
    <t>150.0g</t>
  </si>
  <si>
    <t>13.0g</t>
  </si>
  <si>
    <t>Paprika</t>
  </si>
  <si>
    <t>6.0kcal</t>
  </si>
  <si>
    <t>1.0mg</t>
  </si>
  <si>
    <t>garlic (minced)</t>
  </si>
  <si>
    <t>15.0kcal</t>
  </si>
  <si>
    <t>Oregano</t>
  </si>
  <si>
    <t>3.0kcal</t>
  </si>
  <si>
    <t>red pepper flakes</t>
  </si>
  <si>
    <t>Meatloaf - Nick</t>
  </si>
  <si>
    <t>22.5kcal</t>
  </si>
  <si>
    <t>2.5mg</t>
  </si>
  <si>
    <t>5.5g</t>
  </si>
  <si>
    <t>Italian Bread Crumbs</t>
  </si>
  <si>
    <t>440.0kcal</t>
  </si>
  <si>
    <t>15.0g</t>
  </si>
  <si>
    <t>Egg</t>
  </si>
  <si>
    <t>72.0kcal</t>
  </si>
  <si>
    <t>71.0mg</t>
  </si>
  <si>
    <t>30.5kcal</t>
  </si>
  <si>
    <t>28.8mg</t>
  </si>
  <si>
    <t>Beef &amp; Avocado Burrito - Nick</t>
  </si>
  <si>
    <t>0.5 lb</t>
  </si>
  <si>
    <t>576.0kcal</t>
  </si>
  <si>
    <t>45.5g</t>
  </si>
  <si>
    <t>150.0mg</t>
  </si>
  <si>
    <t>39.0g</t>
  </si>
  <si>
    <t>White Rice</t>
  </si>
  <si>
    <t>Avocado</t>
  </si>
  <si>
    <t>44.0g</t>
  </si>
  <si>
    <t>22.0mg</t>
  </si>
  <si>
    <t>26.0g</t>
  </si>
  <si>
    <t>Shredded Mexican Style Cheese</t>
  </si>
  <si>
    <t>Tortilla</t>
  </si>
  <si>
    <t>600.0kcal</t>
  </si>
  <si>
    <t>1200.0mg</t>
  </si>
  <si>
    <t>96.0g</t>
  </si>
  <si>
    <t>Veggie Sandwhich</t>
  </si>
  <si>
    <t>Sourdough Bread</t>
  </si>
  <si>
    <t>2 slices</t>
  </si>
  <si>
    <t>1 slice</t>
  </si>
  <si>
    <t>400.0mg</t>
  </si>
  <si>
    <t>Cheese of Choice</t>
  </si>
  <si>
    <t>80.0kcal</t>
  </si>
  <si>
    <t>200.0mg</t>
  </si>
  <si>
    <t>Mayonaisse</t>
  </si>
  <si>
    <t>33.0kcal</t>
  </si>
  <si>
    <t>3.5g</t>
  </si>
  <si>
    <t>30.0mg</t>
  </si>
  <si>
    <t>Dijon Mustard</t>
  </si>
  <si>
    <t>5.0kcal</t>
  </si>
  <si>
    <t>120.0mg</t>
  </si>
  <si>
    <t>1 half</t>
  </si>
  <si>
    <t>11.0mg</t>
  </si>
  <si>
    <t>Lettuce (Romaine?)</t>
  </si>
  <si>
    <t>2-3 leaves</t>
  </si>
  <si>
    <t>1 leaf</t>
  </si>
  <si>
    <t>4.0kcal</t>
  </si>
  <si>
    <t>Tomato</t>
  </si>
  <si>
    <t>8.0kcal</t>
  </si>
  <si>
    <t xml:space="preserve">cucumber </t>
  </si>
  <si>
    <t>1/2 cucumber</t>
  </si>
  <si>
    <t>23.0kcal</t>
  </si>
  <si>
    <t>3.0mg</t>
  </si>
  <si>
    <t>red onion</t>
  </si>
  <si>
    <t>1 fourth</t>
  </si>
  <si>
    <t>1/4 onion</t>
  </si>
  <si>
    <t>11.0kcal</t>
  </si>
  <si>
    <t>sprouts</t>
  </si>
  <si>
    <t>salt</t>
  </si>
  <si>
    <t>pinch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</si>
</sst>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topLeftCell="A89" workbookViewId="0">
      <selection activeCell="Q117" sqref="Q117"/>
    </sheetView>
  </sheetViews>
  <sheetFormatPr defaultRowHeight="14.6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K2">
        <v>1</v>
      </c>
    </row>
    <row r="3" spans="1:16" x14ac:dyDescent="0.4">
      <c r="A3" t="s">
        <v>17</v>
      </c>
      <c r="K3">
        <v>6</v>
      </c>
    </row>
    <row r="4" spans="1:16" x14ac:dyDescent="0.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K4">
        <v>6</v>
      </c>
      <c r="L4">
        <v>5.3666666666666671</v>
      </c>
      <c r="M4">
        <v>9.9999999999999992E-2</v>
      </c>
      <c r="N4">
        <v>18.43333333333333</v>
      </c>
      <c r="O4">
        <v>0.83333333333333337</v>
      </c>
      <c r="P4">
        <v>0.68333333333333324</v>
      </c>
    </row>
    <row r="5" spans="1:16" x14ac:dyDescent="0.4">
      <c r="A5" t="s">
        <v>27</v>
      </c>
      <c r="B5" t="s">
        <v>28</v>
      </c>
      <c r="C5" t="s">
        <v>20</v>
      </c>
      <c r="D5" t="s">
        <v>29</v>
      </c>
      <c r="E5" t="s">
        <v>22</v>
      </c>
      <c r="F5" t="s">
        <v>30</v>
      </c>
      <c r="G5" t="s">
        <v>31</v>
      </c>
      <c r="H5" t="s">
        <v>32</v>
      </c>
      <c r="I5" t="s">
        <v>33</v>
      </c>
      <c r="K5">
        <v>6</v>
      </c>
      <c r="L5">
        <v>8.4</v>
      </c>
      <c r="M5">
        <v>9.9999999999999992E-2</v>
      </c>
      <c r="N5">
        <v>2.333333333333333</v>
      </c>
      <c r="O5">
        <v>1.8166666666666671</v>
      </c>
      <c r="P5">
        <v>0.41666666666666669</v>
      </c>
    </row>
    <row r="6" spans="1:16" x14ac:dyDescent="0.4">
      <c r="A6" t="s">
        <v>34</v>
      </c>
      <c r="B6" t="s">
        <v>28</v>
      </c>
      <c r="C6" t="s">
        <v>20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K6">
        <v>6</v>
      </c>
      <c r="L6">
        <v>99.433333333333337</v>
      </c>
      <c r="M6">
        <v>7.916666666666667</v>
      </c>
      <c r="N6">
        <v>345.4</v>
      </c>
      <c r="O6">
        <v>1.55</v>
      </c>
      <c r="P6">
        <v>5.2666666666666666</v>
      </c>
    </row>
    <row r="7" spans="1:16" x14ac:dyDescent="0.4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47</v>
      </c>
      <c r="I7" t="s">
        <v>48</v>
      </c>
      <c r="K7">
        <v>6</v>
      </c>
      <c r="L7">
        <v>39.666666666666657</v>
      </c>
      <c r="M7">
        <v>4.666666666666667</v>
      </c>
      <c r="N7">
        <v>0</v>
      </c>
      <c r="O7">
        <v>0</v>
      </c>
      <c r="P7">
        <v>0</v>
      </c>
    </row>
    <row r="8" spans="1:16" x14ac:dyDescent="0.4">
      <c r="A8" t="s">
        <v>49</v>
      </c>
      <c r="B8" t="s">
        <v>50</v>
      </c>
      <c r="C8" t="s">
        <v>51</v>
      </c>
      <c r="D8" t="s">
        <v>52</v>
      </c>
      <c r="E8" t="s">
        <v>47</v>
      </c>
      <c r="F8" t="s">
        <v>53</v>
      </c>
      <c r="G8" t="s">
        <v>47</v>
      </c>
      <c r="H8" t="s">
        <v>47</v>
      </c>
      <c r="I8" t="s">
        <v>54</v>
      </c>
      <c r="J8" t="s">
        <v>55</v>
      </c>
      <c r="K8">
        <v>6</v>
      </c>
      <c r="L8">
        <v>0</v>
      </c>
      <c r="M8">
        <v>0</v>
      </c>
      <c r="N8">
        <v>383.33333333333331</v>
      </c>
      <c r="O8">
        <v>0</v>
      </c>
      <c r="P8">
        <v>0</v>
      </c>
    </row>
    <row r="9" spans="1:16" x14ac:dyDescent="0.4">
      <c r="A9" t="s">
        <v>56</v>
      </c>
      <c r="B9" t="s">
        <v>42</v>
      </c>
      <c r="C9" t="s">
        <v>43</v>
      </c>
      <c r="D9" t="s">
        <v>57</v>
      </c>
      <c r="E9" t="s">
        <v>47</v>
      </c>
      <c r="F9" t="s">
        <v>58</v>
      </c>
      <c r="G9" t="s">
        <v>59</v>
      </c>
      <c r="H9" t="s">
        <v>60</v>
      </c>
      <c r="I9" t="s">
        <v>61</v>
      </c>
      <c r="K9">
        <v>6</v>
      </c>
      <c r="L9">
        <v>5</v>
      </c>
      <c r="M9">
        <v>0</v>
      </c>
      <c r="N9">
        <v>0.33333333333333331</v>
      </c>
      <c r="O9">
        <v>1</v>
      </c>
      <c r="P9">
        <v>0.33333333333333331</v>
      </c>
    </row>
    <row r="10" spans="1:16" x14ac:dyDescent="0.4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46</v>
      </c>
      <c r="G10" t="s">
        <v>67</v>
      </c>
      <c r="H10" t="s">
        <v>45</v>
      </c>
      <c r="I10" t="s">
        <v>33</v>
      </c>
      <c r="K10">
        <v>6</v>
      </c>
      <c r="L10">
        <v>133.33333333333329</v>
      </c>
      <c r="M10">
        <v>0.66666666666666663</v>
      </c>
      <c r="N10">
        <v>0</v>
      </c>
      <c r="O10">
        <v>28</v>
      </c>
      <c r="P10">
        <v>4.666666666666667</v>
      </c>
    </row>
    <row r="11" spans="1:16" x14ac:dyDescent="0.4">
      <c r="A11" t="s">
        <v>68</v>
      </c>
      <c r="K11">
        <v>6</v>
      </c>
      <c r="L11">
        <f>SUM(L4:L10)</f>
        <v>291.19999999999993</v>
      </c>
      <c r="M11">
        <f t="shared" ref="M11:P11" si="0">SUM(M4:M10)</f>
        <v>13.450000000000001</v>
      </c>
      <c r="N11">
        <f t="shared" si="0"/>
        <v>749.83333333333337</v>
      </c>
      <c r="O11">
        <f t="shared" si="0"/>
        <v>33.200000000000003</v>
      </c>
      <c r="P11">
        <f t="shared" si="0"/>
        <v>11.366666666666667</v>
      </c>
    </row>
    <row r="12" spans="1:16" x14ac:dyDescent="0.4">
      <c r="A12" t="s">
        <v>69</v>
      </c>
      <c r="K12">
        <v>6</v>
      </c>
    </row>
    <row r="13" spans="1:16" x14ac:dyDescent="0.4">
      <c r="K13">
        <v>6</v>
      </c>
    </row>
    <row r="14" spans="1:16" x14ac:dyDescent="0.4">
      <c r="A14" t="s">
        <v>70</v>
      </c>
      <c r="K14">
        <v>1</v>
      </c>
    </row>
    <row r="15" spans="1:16" x14ac:dyDescent="0.4">
      <c r="A15" t="s">
        <v>71</v>
      </c>
      <c r="B15" t="s">
        <v>72</v>
      </c>
      <c r="C15" t="s">
        <v>72</v>
      </c>
      <c r="D15" t="s">
        <v>73</v>
      </c>
      <c r="E15" t="s">
        <v>22</v>
      </c>
      <c r="F15" t="s">
        <v>46</v>
      </c>
      <c r="G15" t="s">
        <v>74</v>
      </c>
      <c r="H15" t="s">
        <v>75</v>
      </c>
      <c r="I15" t="s">
        <v>76</v>
      </c>
      <c r="K15">
        <v>1</v>
      </c>
      <c r="L15">
        <v>37.5</v>
      </c>
      <c r="M15">
        <v>0.6</v>
      </c>
      <c r="N15">
        <v>0</v>
      </c>
      <c r="O15">
        <v>6.8</v>
      </c>
      <c r="P15">
        <v>1.2</v>
      </c>
    </row>
    <row r="16" spans="1:16" x14ac:dyDescent="0.4">
      <c r="A16" t="s">
        <v>77</v>
      </c>
      <c r="B16" t="s">
        <v>72</v>
      </c>
      <c r="C16" t="s">
        <v>72</v>
      </c>
      <c r="D16" t="s">
        <v>78</v>
      </c>
      <c r="E16" t="s">
        <v>47</v>
      </c>
      <c r="F16" t="s">
        <v>79</v>
      </c>
      <c r="G16" t="s">
        <v>80</v>
      </c>
      <c r="H16" t="s">
        <v>81</v>
      </c>
      <c r="I16" t="s">
        <v>82</v>
      </c>
      <c r="K16">
        <v>1</v>
      </c>
      <c r="L16">
        <v>7.5</v>
      </c>
      <c r="M16">
        <v>0</v>
      </c>
      <c r="N16">
        <v>3.8</v>
      </c>
      <c r="O16">
        <v>0.4</v>
      </c>
      <c r="P16">
        <v>1.1000000000000001</v>
      </c>
    </row>
    <row r="17" spans="1:1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66</v>
      </c>
      <c r="H17" t="s">
        <v>89</v>
      </c>
      <c r="I17" t="s">
        <v>90</v>
      </c>
      <c r="K17">
        <v>1</v>
      </c>
      <c r="L17">
        <v>40.700000000000003</v>
      </c>
      <c r="M17">
        <v>1.6</v>
      </c>
      <c r="N17">
        <v>38.299999999999997</v>
      </c>
      <c r="O17">
        <v>4</v>
      </c>
      <c r="P17">
        <v>2.7</v>
      </c>
    </row>
    <row r="18" spans="1:16" x14ac:dyDescent="0.4">
      <c r="A18" t="s">
        <v>91</v>
      </c>
      <c r="B18" t="s">
        <v>92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97</v>
      </c>
      <c r="I18" t="s">
        <v>98</v>
      </c>
      <c r="K18">
        <v>1</v>
      </c>
      <c r="L18">
        <v>200</v>
      </c>
      <c r="M18">
        <v>12</v>
      </c>
      <c r="N18">
        <v>6</v>
      </c>
      <c r="O18">
        <v>16</v>
      </c>
      <c r="P18">
        <v>7</v>
      </c>
    </row>
    <row r="19" spans="1:16" x14ac:dyDescent="0.4">
      <c r="A19" t="s">
        <v>99</v>
      </c>
      <c r="B19" t="s">
        <v>72</v>
      </c>
      <c r="C19" t="s">
        <v>72</v>
      </c>
      <c r="D19" t="s">
        <v>100</v>
      </c>
      <c r="E19" t="s">
        <v>47</v>
      </c>
      <c r="F19" t="s">
        <v>46</v>
      </c>
      <c r="G19" t="s">
        <v>75</v>
      </c>
      <c r="H19" t="s">
        <v>101</v>
      </c>
      <c r="I19" t="s">
        <v>98</v>
      </c>
      <c r="K19">
        <v>1</v>
      </c>
      <c r="L19">
        <v>5.2</v>
      </c>
      <c r="M19">
        <v>0</v>
      </c>
      <c r="N19">
        <v>0</v>
      </c>
      <c r="O19">
        <v>1.2</v>
      </c>
      <c r="P19">
        <v>0.1</v>
      </c>
    </row>
    <row r="20" spans="1:16" x14ac:dyDescent="0.4">
      <c r="A20" t="s">
        <v>102</v>
      </c>
      <c r="B20" t="s">
        <v>92</v>
      </c>
      <c r="C20" t="s">
        <v>103</v>
      </c>
      <c r="D20" t="s">
        <v>104</v>
      </c>
      <c r="E20" t="s">
        <v>47</v>
      </c>
      <c r="F20" t="s">
        <v>46</v>
      </c>
      <c r="G20" t="s">
        <v>94</v>
      </c>
      <c r="H20" t="s">
        <v>47</v>
      </c>
      <c r="I20" t="s">
        <v>105</v>
      </c>
      <c r="K20">
        <v>1</v>
      </c>
      <c r="L20">
        <v>42</v>
      </c>
      <c r="M20">
        <v>0</v>
      </c>
      <c r="N20">
        <v>0</v>
      </c>
      <c r="O20">
        <v>12</v>
      </c>
      <c r="P20">
        <v>0</v>
      </c>
    </row>
    <row r="21" spans="1:16" x14ac:dyDescent="0.4">
      <c r="A21" t="s">
        <v>68</v>
      </c>
      <c r="K21">
        <v>1</v>
      </c>
      <c r="L21">
        <f>SUM(L15:L20)</f>
        <v>332.9</v>
      </c>
      <c r="M21">
        <f t="shared" ref="M21:P21" si="1">SUM(M15:M20)</f>
        <v>14.2</v>
      </c>
      <c r="N21">
        <f t="shared" si="1"/>
        <v>48.099999999999994</v>
      </c>
      <c r="O21">
        <f t="shared" si="1"/>
        <v>40.4</v>
      </c>
      <c r="P21">
        <f t="shared" si="1"/>
        <v>12.1</v>
      </c>
    </row>
    <row r="22" spans="1:16" x14ac:dyDescent="0.4">
      <c r="A22" t="s">
        <v>106</v>
      </c>
      <c r="K22">
        <v>1</v>
      </c>
    </row>
    <row r="23" spans="1:16" x14ac:dyDescent="0.4">
      <c r="K23">
        <v>1</v>
      </c>
    </row>
    <row r="24" spans="1:16" x14ac:dyDescent="0.4">
      <c r="A24" t="s">
        <v>107</v>
      </c>
      <c r="K24">
        <v>4</v>
      </c>
    </row>
    <row r="25" spans="1:16" x14ac:dyDescent="0.4">
      <c r="A25" t="s">
        <v>108</v>
      </c>
      <c r="B25">
        <v>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114</v>
      </c>
      <c r="I25" t="s">
        <v>115</v>
      </c>
      <c r="K25">
        <v>4</v>
      </c>
      <c r="L25">
        <v>420</v>
      </c>
      <c r="M25">
        <v>10</v>
      </c>
      <c r="N25">
        <v>900</v>
      </c>
      <c r="O25">
        <v>70</v>
      </c>
      <c r="P25">
        <v>12</v>
      </c>
    </row>
    <row r="26" spans="1:16" x14ac:dyDescent="0.4">
      <c r="A26" t="s">
        <v>116</v>
      </c>
      <c r="B26" t="s">
        <v>117</v>
      </c>
      <c r="C26" t="s">
        <v>118</v>
      </c>
      <c r="D26" t="s">
        <v>119</v>
      </c>
      <c r="E26" t="s">
        <v>94</v>
      </c>
      <c r="F26" t="s">
        <v>120</v>
      </c>
      <c r="G26" t="s">
        <v>47</v>
      </c>
      <c r="H26" t="s">
        <v>101</v>
      </c>
      <c r="I26" t="s">
        <v>121</v>
      </c>
      <c r="K26">
        <v>4</v>
      </c>
      <c r="L26">
        <v>25.5</v>
      </c>
      <c r="M26">
        <v>3</v>
      </c>
      <c r="N26">
        <v>22.5</v>
      </c>
      <c r="O26">
        <v>0</v>
      </c>
      <c r="P26">
        <v>2.5000000000000001E-2</v>
      </c>
    </row>
    <row r="27" spans="1:16" x14ac:dyDescent="0.4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t="s">
        <v>120</v>
      </c>
      <c r="G27" t="s">
        <v>47</v>
      </c>
      <c r="H27" t="s">
        <v>127</v>
      </c>
      <c r="I27" t="s">
        <v>128</v>
      </c>
      <c r="K27">
        <v>4</v>
      </c>
      <c r="L27">
        <v>60</v>
      </c>
      <c r="M27">
        <v>1.3</v>
      </c>
      <c r="N27">
        <v>22.5</v>
      </c>
      <c r="O27">
        <v>0</v>
      </c>
      <c r="P27">
        <v>11.5</v>
      </c>
    </row>
    <row r="28" spans="1:16" x14ac:dyDescent="0.4">
      <c r="A28" t="s">
        <v>129</v>
      </c>
      <c r="B28" t="s">
        <v>130</v>
      </c>
      <c r="C28" t="s">
        <v>85</v>
      </c>
      <c r="D28" t="s">
        <v>131</v>
      </c>
      <c r="E28" t="s">
        <v>132</v>
      </c>
      <c r="F28" t="s">
        <v>133</v>
      </c>
      <c r="G28" t="s">
        <v>134</v>
      </c>
      <c r="H28" t="s">
        <v>135</v>
      </c>
      <c r="I28" t="s">
        <v>136</v>
      </c>
      <c r="K28">
        <v>4</v>
      </c>
      <c r="L28">
        <v>85.125</v>
      </c>
      <c r="M28">
        <v>0.375</v>
      </c>
      <c r="N28">
        <v>3.75</v>
      </c>
      <c r="O28">
        <v>15.375</v>
      </c>
      <c r="P28">
        <v>5.625</v>
      </c>
    </row>
    <row r="29" spans="1:16" x14ac:dyDescent="0.4">
      <c r="A29" t="s">
        <v>137</v>
      </c>
      <c r="B29" t="s">
        <v>72</v>
      </c>
      <c r="C29" t="s">
        <v>85</v>
      </c>
      <c r="D29" t="s">
        <v>138</v>
      </c>
      <c r="E29" t="s">
        <v>139</v>
      </c>
      <c r="F29" t="s">
        <v>140</v>
      </c>
      <c r="G29" t="s">
        <v>80</v>
      </c>
      <c r="H29" t="s">
        <v>97</v>
      </c>
      <c r="I29" t="s">
        <v>141</v>
      </c>
      <c r="K29">
        <v>4</v>
      </c>
      <c r="L29">
        <v>28.45</v>
      </c>
      <c r="M29">
        <v>2.2999999999999998</v>
      </c>
      <c r="N29">
        <v>43.875</v>
      </c>
      <c r="O29">
        <v>0.1</v>
      </c>
      <c r="P29">
        <v>1.75</v>
      </c>
    </row>
    <row r="30" spans="1:16" x14ac:dyDescent="0.4">
      <c r="A30" t="s">
        <v>49</v>
      </c>
      <c r="B30" t="s">
        <v>103</v>
      </c>
      <c r="C30" t="s">
        <v>51</v>
      </c>
      <c r="D30" t="s">
        <v>52</v>
      </c>
      <c r="E30" t="s">
        <v>47</v>
      </c>
      <c r="F30" t="s">
        <v>53</v>
      </c>
      <c r="G30" t="s">
        <v>47</v>
      </c>
      <c r="H30" t="s">
        <v>47</v>
      </c>
      <c r="I30" t="s">
        <v>142</v>
      </c>
      <c r="K30">
        <v>4</v>
      </c>
      <c r="L30">
        <v>0</v>
      </c>
      <c r="M30">
        <v>0</v>
      </c>
      <c r="N30">
        <v>575</v>
      </c>
      <c r="O30">
        <v>0</v>
      </c>
      <c r="P30">
        <v>0</v>
      </c>
    </row>
    <row r="31" spans="1:16" x14ac:dyDescent="0.4">
      <c r="A31" t="s">
        <v>143</v>
      </c>
      <c r="B31" t="s">
        <v>144</v>
      </c>
      <c r="C31" t="s">
        <v>43</v>
      </c>
      <c r="D31" t="s">
        <v>145</v>
      </c>
      <c r="E31" t="s">
        <v>146</v>
      </c>
      <c r="F31" t="s">
        <v>46</v>
      </c>
      <c r="G31" t="s">
        <v>47</v>
      </c>
      <c r="H31" t="s">
        <v>47</v>
      </c>
      <c r="I31" t="s">
        <v>142</v>
      </c>
      <c r="K31">
        <v>4</v>
      </c>
      <c r="L31">
        <v>29.75</v>
      </c>
      <c r="M31">
        <v>3.5</v>
      </c>
      <c r="N31">
        <v>0</v>
      </c>
      <c r="O31">
        <v>0</v>
      </c>
      <c r="P31">
        <v>0</v>
      </c>
    </row>
    <row r="32" spans="1:16" x14ac:dyDescent="0.4">
      <c r="A32" t="s">
        <v>68</v>
      </c>
      <c r="K32">
        <v>4</v>
      </c>
      <c r="L32">
        <f>SUM(L25:L31)</f>
        <v>648.82500000000005</v>
      </c>
      <c r="M32">
        <f t="shared" ref="M32:P32" si="2">SUM(M25:M31)</f>
        <v>20.475000000000001</v>
      </c>
      <c r="N32">
        <f t="shared" si="2"/>
        <v>1567.625</v>
      </c>
      <c r="O32">
        <f t="shared" si="2"/>
        <v>85.474999999999994</v>
      </c>
      <c r="P32">
        <f t="shared" si="2"/>
        <v>30.9</v>
      </c>
    </row>
    <row r="33" spans="1:16" x14ac:dyDescent="0.4">
      <c r="A33" t="s">
        <v>147</v>
      </c>
      <c r="K33">
        <v>4</v>
      </c>
    </row>
    <row r="34" spans="1:16" x14ac:dyDescent="0.4">
      <c r="K34">
        <v>4</v>
      </c>
    </row>
    <row r="35" spans="1:16" x14ac:dyDescent="0.4">
      <c r="A35" t="s">
        <v>148</v>
      </c>
      <c r="K35">
        <v>6</v>
      </c>
    </row>
    <row r="36" spans="1:16" x14ac:dyDescent="0.4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154</v>
      </c>
      <c r="G36" t="s">
        <v>47</v>
      </c>
      <c r="H36" t="s">
        <v>155</v>
      </c>
      <c r="I36" t="s">
        <v>156</v>
      </c>
      <c r="K36">
        <v>6</v>
      </c>
      <c r="L36">
        <v>192</v>
      </c>
      <c r="M36">
        <v>15.16666666666667</v>
      </c>
      <c r="N36">
        <v>50</v>
      </c>
      <c r="O36">
        <v>0</v>
      </c>
      <c r="P36">
        <v>13</v>
      </c>
    </row>
    <row r="37" spans="1:16" x14ac:dyDescent="0.4">
      <c r="A37" t="s">
        <v>157</v>
      </c>
      <c r="B37">
        <v>1</v>
      </c>
      <c r="C37" t="s">
        <v>158</v>
      </c>
      <c r="D37" t="s">
        <v>159</v>
      </c>
      <c r="E37" t="s">
        <v>101</v>
      </c>
      <c r="F37" t="s">
        <v>160</v>
      </c>
      <c r="G37" t="s">
        <v>161</v>
      </c>
      <c r="H37" t="s">
        <v>75</v>
      </c>
      <c r="I37" t="s">
        <v>162</v>
      </c>
      <c r="K37">
        <v>6</v>
      </c>
      <c r="L37">
        <v>7.5</v>
      </c>
      <c r="M37">
        <v>1.666666666666667E-2</v>
      </c>
      <c r="N37">
        <v>0.83333333333333337</v>
      </c>
      <c r="O37">
        <v>1.833333333333333</v>
      </c>
      <c r="P37">
        <v>0.2</v>
      </c>
    </row>
    <row r="38" spans="1:16" x14ac:dyDescent="0.4">
      <c r="A38" t="s">
        <v>163</v>
      </c>
      <c r="B38" t="s">
        <v>130</v>
      </c>
      <c r="C38" t="s">
        <v>164</v>
      </c>
      <c r="D38" t="s">
        <v>165</v>
      </c>
      <c r="E38" t="s">
        <v>47</v>
      </c>
      <c r="F38" t="s">
        <v>166</v>
      </c>
      <c r="G38" t="s">
        <v>167</v>
      </c>
      <c r="H38" t="s">
        <v>66</v>
      </c>
      <c r="I38" t="s">
        <v>168</v>
      </c>
      <c r="K38">
        <v>6</v>
      </c>
      <c r="L38">
        <v>16.666666666666671</v>
      </c>
      <c r="M38">
        <v>0</v>
      </c>
      <c r="N38">
        <v>100</v>
      </c>
      <c r="O38">
        <v>3.666666666666667</v>
      </c>
      <c r="P38">
        <v>0.66666666666666663</v>
      </c>
    </row>
    <row r="39" spans="1:16" x14ac:dyDescent="0.4">
      <c r="A39" t="s">
        <v>169</v>
      </c>
      <c r="B39" t="s">
        <v>170</v>
      </c>
      <c r="C39" t="s">
        <v>170</v>
      </c>
      <c r="D39" t="s">
        <v>171</v>
      </c>
      <c r="E39" t="s">
        <v>47</v>
      </c>
      <c r="F39" t="s">
        <v>172</v>
      </c>
      <c r="G39" t="s">
        <v>173</v>
      </c>
      <c r="H39" t="s">
        <v>47</v>
      </c>
      <c r="I39" t="s">
        <v>174</v>
      </c>
      <c r="K39">
        <v>6</v>
      </c>
      <c r="L39">
        <v>15</v>
      </c>
      <c r="M39">
        <v>0</v>
      </c>
      <c r="N39">
        <v>366.66666666666669</v>
      </c>
      <c r="O39">
        <v>3</v>
      </c>
      <c r="P39">
        <v>0</v>
      </c>
    </row>
    <row r="40" spans="1:16" x14ac:dyDescent="0.4">
      <c r="A40" t="s">
        <v>175</v>
      </c>
      <c r="B40" t="s">
        <v>130</v>
      </c>
      <c r="C40" t="s">
        <v>85</v>
      </c>
      <c r="D40" t="s">
        <v>176</v>
      </c>
      <c r="E40" t="s">
        <v>132</v>
      </c>
      <c r="F40" t="s">
        <v>133</v>
      </c>
      <c r="G40" t="s">
        <v>177</v>
      </c>
      <c r="H40" t="s">
        <v>178</v>
      </c>
      <c r="I40" t="s">
        <v>179</v>
      </c>
      <c r="K40">
        <v>6</v>
      </c>
      <c r="L40">
        <v>53.75</v>
      </c>
      <c r="M40">
        <v>0.25</v>
      </c>
      <c r="N40">
        <v>2.5</v>
      </c>
      <c r="O40">
        <v>9.25</v>
      </c>
      <c r="P40">
        <v>3.25</v>
      </c>
    </row>
    <row r="41" spans="1:16" x14ac:dyDescent="0.4">
      <c r="A41" t="s">
        <v>180</v>
      </c>
      <c r="B41" t="s">
        <v>130</v>
      </c>
      <c r="C41" t="s">
        <v>181</v>
      </c>
      <c r="D41" t="s">
        <v>182</v>
      </c>
      <c r="E41" t="s">
        <v>66</v>
      </c>
      <c r="F41" t="s">
        <v>183</v>
      </c>
      <c r="G41" t="s">
        <v>184</v>
      </c>
      <c r="H41" t="s">
        <v>185</v>
      </c>
      <c r="I41" t="s">
        <v>186</v>
      </c>
      <c r="K41">
        <v>6</v>
      </c>
      <c r="L41">
        <v>46.666666666666657</v>
      </c>
      <c r="M41">
        <v>0.66666666666666663</v>
      </c>
      <c r="N41">
        <v>133.33333333333329</v>
      </c>
      <c r="O41">
        <v>10</v>
      </c>
      <c r="P41">
        <v>1.333333333333333</v>
      </c>
    </row>
    <row r="42" spans="1:16" x14ac:dyDescent="0.4">
      <c r="A42" t="s">
        <v>49</v>
      </c>
      <c r="B42" t="s">
        <v>187</v>
      </c>
      <c r="C42" t="s">
        <v>51</v>
      </c>
      <c r="D42" t="s">
        <v>52</v>
      </c>
      <c r="E42" t="s">
        <v>47</v>
      </c>
      <c r="F42" t="s">
        <v>53</v>
      </c>
      <c r="G42" t="s">
        <v>47</v>
      </c>
      <c r="H42" t="s">
        <v>47</v>
      </c>
      <c r="I42" t="s">
        <v>142</v>
      </c>
      <c r="K42">
        <v>6</v>
      </c>
      <c r="L42">
        <v>0</v>
      </c>
      <c r="M42">
        <v>0</v>
      </c>
      <c r="N42">
        <v>383.33333333333331</v>
      </c>
      <c r="O42">
        <v>0</v>
      </c>
      <c r="P42">
        <v>0</v>
      </c>
    </row>
    <row r="43" spans="1:16" x14ac:dyDescent="0.4">
      <c r="A43" t="s">
        <v>137</v>
      </c>
      <c r="B43" t="s">
        <v>188</v>
      </c>
      <c r="C43" t="s">
        <v>85</v>
      </c>
      <c r="D43" t="s">
        <v>189</v>
      </c>
      <c r="E43" t="s">
        <v>190</v>
      </c>
      <c r="F43" t="s">
        <v>191</v>
      </c>
      <c r="G43" t="s">
        <v>132</v>
      </c>
      <c r="H43" t="s">
        <v>45</v>
      </c>
      <c r="I43" t="s">
        <v>142</v>
      </c>
      <c r="K43">
        <v>6</v>
      </c>
      <c r="L43">
        <v>75.833333333333329</v>
      </c>
      <c r="M43">
        <v>6.166666666666667</v>
      </c>
      <c r="N43">
        <v>117</v>
      </c>
      <c r="O43">
        <v>0.25</v>
      </c>
      <c r="P43">
        <v>4.666666666666667</v>
      </c>
    </row>
    <row r="44" spans="1:16" x14ac:dyDescent="0.4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 t="s">
        <v>197</v>
      </c>
      <c r="G44" t="s">
        <v>198</v>
      </c>
      <c r="H44" t="s">
        <v>96</v>
      </c>
      <c r="I44" t="s">
        <v>199</v>
      </c>
      <c r="K44">
        <v>6</v>
      </c>
      <c r="L44">
        <v>213.33333333333329</v>
      </c>
      <c r="M44">
        <v>13.33333333333333</v>
      </c>
      <c r="N44">
        <v>226.66666666666671</v>
      </c>
      <c r="O44">
        <v>20</v>
      </c>
      <c r="P44">
        <v>2.666666666666667</v>
      </c>
    </row>
    <row r="45" spans="1:16" x14ac:dyDescent="0.4">
      <c r="A45" t="s">
        <v>200</v>
      </c>
      <c r="B45" t="s">
        <v>201</v>
      </c>
      <c r="C45" t="s">
        <v>118</v>
      </c>
      <c r="D45" t="s">
        <v>57</v>
      </c>
      <c r="E45" t="s">
        <v>202</v>
      </c>
      <c r="F45" t="s">
        <v>203</v>
      </c>
      <c r="G45" t="s">
        <v>204</v>
      </c>
      <c r="H45" t="s">
        <v>205</v>
      </c>
      <c r="I45" t="s">
        <v>206</v>
      </c>
      <c r="K45">
        <v>6</v>
      </c>
      <c r="L45">
        <v>5</v>
      </c>
      <c r="M45">
        <v>0.5</v>
      </c>
      <c r="N45">
        <v>1.666666666666667</v>
      </c>
      <c r="O45">
        <v>0.16666666666666671</v>
      </c>
      <c r="P45">
        <v>8.3333333333333329E-2</v>
      </c>
    </row>
    <row r="46" spans="1:16" x14ac:dyDescent="0.4">
      <c r="A46" t="s">
        <v>68</v>
      </c>
      <c r="K46">
        <v>6</v>
      </c>
      <c r="L46">
        <f>SUM(L36:L45)</f>
        <v>625.75</v>
      </c>
      <c r="M46">
        <f t="shared" ref="M46:P46" si="3">SUM(M36:M45)</f>
        <v>36.1</v>
      </c>
      <c r="N46">
        <f t="shared" si="3"/>
        <v>1382</v>
      </c>
      <c r="O46">
        <f t="shared" si="3"/>
        <v>48.166666666666664</v>
      </c>
      <c r="P46">
        <f t="shared" si="3"/>
        <v>25.866666666666667</v>
      </c>
    </row>
    <row r="47" spans="1:16" x14ac:dyDescent="0.4">
      <c r="A47" t="s">
        <v>147</v>
      </c>
      <c r="K47">
        <v>6</v>
      </c>
    </row>
    <row r="48" spans="1:16" x14ac:dyDescent="0.4">
      <c r="K48">
        <v>6</v>
      </c>
    </row>
    <row r="49" spans="1:16" x14ac:dyDescent="0.4">
      <c r="A49" t="s">
        <v>207</v>
      </c>
      <c r="K49">
        <v>4</v>
      </c>
    </row>
    <row r="50" spans="1:16" x14ac:dyDescent="0.4">
      <c r="A50" t="s">
        <v>208</v>
      </c>
      <c r="B50" t="s">
        <v>209</v>
      </c>
      <c r="C50" t="s">
        <v>85</v>
      </c>
      <c r="D50" t="s">
        <v>210</v>
      </c>
      <c r="E50" t="s">
        <v>59</v>
      </c>
      <c r="F50" t="s">
        <v>203</v>
      </c>
      <c r="G50" t="s">
        <v>211</v>
      </c>
      <c r="H50" t="s">
        <v>212</v>
      </c>
      <c r="I50" t="s">
        <v>213</v>
      </c>
      <c r="K50">
        <v>4</v>
      </c>
      <c r="L50">
        <v>204</v>
      </c>
      <c r="M50">
        <v>1.5</v>
      </c>
      <c r="N50">
        <v>2.5</v>
      </c>
      <c r="O50">
        <v>43</v>
      </c>
      <c r="P50">
        <v>8</v>
      </c>
    </row>
    <row r="51" spans="1:16" x14ac:dyDescent="0.4">
      <c r="A51" t="s">
        <v>214</v>
      </c>
      <c r="B51" t="s">
        <v>215</v>
      </c>
      <c r="C51" t="s">
        <v>118</v>
      </c>
      <c r="D51" t="s">
        <v>216</v>
      </c>
      <c r="E51" t="s">
        <v>47</v>
      </c>
      <c r="F51" t="s">
        <v>46</v>
      </c>
      <c r="G51" t="s">
        <v>217</v>
      </c>
      <c r="H51" t="s">
        <v>47</v>
      </c>
      <c r="I51" t="s">
        <v>218</v>
      </c>
      <c r="K51">
        <v>4</v>
      </c>
      <c r="L51">
        <v>24</v>
      </c>
      <c r="M51">
        <v>0</v>
      </c>
      <c r="N51">
        <v>0</v>
      </c>
      <c r="O51">
        <v>6</v>
      </c>
      <c r="P51">
        <v>0</v>
      </c>
    </row>
    <row r="52" spans="1:16" x14ac:dyDescent="0.4">
      <c r="A52" t="s">
        <v>219</v>
      </c>
      <c r="B52" t="s">
        <v>92</v>
      </c>
      <c r="C52" t="s">
        <v>103</v>
      </c>
      <c r="D52" t="s">
        <v>220</v>
      </c>
      <c r="E52" t="s">
        <v>47</v>
      </c>
      <c r="F52" t="s">
        <v>221</v>
      </c>
      <c r="G52" t="s">
        <v>60</v>
      </c>
      <c r="H52" t="s">
        <v>47</v>
      </c>
      <c r="I52" t="s">
        <v>222</v>
      </c>
      <c r="K52">
        <v>4</v>
      </c>
      <c r="L52">
        <v>2.5</v>
      </c>
      <c r="M52">
        <v>0</v>
      </c>
      <c r="N52">
        <v>240</v>
      </c>
      <c r="O52">
        <v>0.5</v>
      </c>
      <c r="P52">
        <v>0</v>
      </c>
    </row>
    <row r="53" spans="1:16" x14ac:dyDescent="0.4">
      <c r="A53" t="s">
        <v>223</v>
      </c>
      <c r="B53" t="s">
        <v>224</v>
      </c>
      <c r="C53" t="s">
        <v>224</v>
      </c>
      <c r="D53" t="s">
        <v>52</v>
      </c>
      <c r="E53" t="s">
        <v>47</v>
      </c>
      <c r="F53" t="s">
        <v>154</v>
      </c>
      <c r="G53" t="s">
        <v>47</v>
      </c>
      <c r="H53" t="s">
        <v>47</v>
      </c>
      <c r="I53" t="s">
        <v>225</v>
      </c>
      <c r="K53">
        <v>4</v>
      </c>
      <c r="L53">
        <v>0</v>
      </c>
      <c r="M53">
        <v>0</v>
      </c>
      <c r="N53">
        <v>75</v>
      </c>
      <c r="O53">
        <v>0</v>
      </c>
      <c r="P53">
        <v>0</v>
      </c>
    </row>
    <row r="54" spans="1:16" x14ac:dyDescent="0.4">
      <c r="A54" t="s">
        <v>226</v>
      </c>
      <c r="B54" t="s">
        <v>224</v>
      </c>
      <c r="C54" t="s">
        <v>103</v>
      </c>
      <c r="D54" t="s">
        <v>52</v>
      </c>
      <c r="E54" t="s">
        <v>47</v>
      </c>
      <c r="F54" t="s">
        <v>227</v>
      </c>
      <c r="G54" t="s">
        <v>47</v>
      </c>
      <c r="H54" t="s">
        <v>47</v>
      </c>
      <c r="I54" t="s">
        <v>228</v>
      </c>
      <c r="K54">
        <v>4</v>
      </c>
      <c r="L54">
        <v>0</v>
      </c>
      <c r="M54">
        <v>0</v>
      </c>
      <c r="N54">
        <v>287.5</v>
      </c>
      <c r="O54">
        <v>0</v>
      </c>
      <c r="P54">
        <v>0</v>
      </c>
    </row>
    <row r="55" spans="1:16" x14ac:dyDescent="0.4">
      <c r="A55" t="s">
        <v>229</v>
      </c>
      <c r="B55" t="s">
        <v>230</v>
      </c>
      <c r="C55" t="s">
        <v>85</v>
      </c>
      <c r="D55" t="s">
        <v>93</v>
      </c>
      <c r="E55" t="s">
        <v>66</v>
      </c>
      <c r="F55" t="s">
        <v>231</v>
      </c>
      <c r="G55" t="s">
        <v>217</v>
      </c>
      <c r="H55" t="s">
        <v>96</v>
      </c>
      <c r="I55" t="s">
        <v>232</v>
      </c>
      <c r="K55">
        <v>4</v>
      </c>
      <c r="L55">
        <v>50</v>
      </c>
      <c r="M55">
        <v>1</v>
      </c>
      <c r="N55">
        <v>230</v>
      </c>
      <c r="O55">
        <v>6</v>
      </c>
      <c r="P55">
        <v>4</v>
      </c>
    </row>
    <row r="56" spans="1:16" x14ac:dyDescent="0.4">
      <c r="A56" t="s">
        <v>233</v>
      </c>
      <c r="B56">
        <v>2</v>
      </c>
      <c r="C56" t="s">
        <v>109</v>
      </c>
      <c r="D56" t="s">
        <v>234</v>
      </c>
      <c r="E56" t="s">
        <v>235</v>
      </c>
      <c r="F56" t="s">
        <v>236</v>
      </c>
      <c r="G56" t="s">
        <v>237</v>
      </c>
      <c r="H56" t="s">
        <v>94</v>
      </c>
      <c r="I56" t="s">
        <v>238</v>
      </c>
      <c r="K56">
        <v>4</v>
      </c>
      <c r="L56">
        <v>36</v>
      </c>
      <c r="M56">
        <v>2.5</v>
      </c>
      <c r="N56">
        <v>35.5</v>
      </c>
      <c r="O56">
        <v>0.2</v>
      </c>
      <c r="P56">
        <v>3</v>
      </c>
    </row>
    <row r="57" spans="1:16" x14ac:dyDescent="0.4">
      <c r="A57" t="s">
        <v>239</v>
      </c>
      <c r="B57" t="s">
        <v>240</v>
      </c>
      <c r="C57" t="s">
        <v>118</v>
      </c>
      <c r="D57" t="s">
        <v>241</v>
      </c>
      <c r="E57" t="s">
        <v>242</v>
      </c>
      <c r="F57" t="s">
        <v>46</v>
      </c>
      <c r="G57" t="s">
        <v>47</v>
      </c>
      <c r="H57" t="s">
        <v>47</v>
      </c>
      <c r="I57" t="s">
        <v>243</v>
      </c>
      <c r="K57">
        <v>4</v>
      </c>
      <c r="L57">
        <v>120</v>
      </c>
      <c r="M57">
        <v>14</v>
      </c>
      <c r="N57">
        <v>0</v>
      </c>
      <c r="O57">
        <v>0</v>
      </c>
      <c r="P57">
        <v>0</v>
      </c>
    </row>
    <row r="58" spans="1:16" x14ac:dyDescent="0.4">
      <c r="A58" t="s">
        <v>68</v>
      </c>
      <c r="K58">
        <v>4</v>
      </c>
      <c r="L58">
        <f>SUM(L50:L57)</f>
        <v>436.5</v>
      </c>
      <c r="M58">
        <f t="shared" ref="M58:P58" si="4">SUM(M50:M57)</f>
        <v>19</v>
      </c>
      <c r="N58">
        <f t="shared" si="4"/>
        <v>870.5</v>
      </c>
      <c r="O58">
        <f t="shared" si="4"/>
        <v>55.7</v>
      </c>
      <c r="P58">
        <f t="shared" si="4"/>
        <v>15</v>
      </c>
    </row>
    <row r="59" spans="1:16" x14ac:dyDescent="0.4">
      <c r="A59" t="s">
        <v>244</v>
      </c>
      <c r="K59">
        <v>1</v>
      </c>
    </row>
    <row r="60" spans="1:16" x14ac:dyDescent="0.4">
      <c r="K60">
        <v>1</v>
      </c>
    </row>
    <row r="61" spans="1:16" x14ac:dyDescent="0.4">
      <c r="A61" t="s">
        <v>245</v>
      </c>
      <c r="K61">
        <v>2</v>
      </c>
    </row>
    <row r="62" spans="1:16" x14ac:dyDescent="0.4">
      <c r="A62" t="s">
        <v>246</v>
      </c>
      <c r="B62" t="s">
        <v>247</v>
      </c>
      <c r="C62" t="s">
        <v>85</v>
      </c>
      <c r="D62" t="s">
        <v>248</v>
      </c>
      <c r="E62" t="s">
        <v>249</v>
      </c>
      <c r="F62" t="s">
        <v>250</v>
      </c>
      <c r="G62" t="s">
        <v>251</v>
      </c>
      <c r="H62" t="s">
        <v>252</v>
      </c>
      <c r="I62" t="s">
        <v>253</v>
      </c>
      <c r="K62">
        <v>2</v>
      </c>
      <c r="L62">
        <v>12</v>
      </c>
      <c r="M62">
        <v>0.15</v>
      </c>
      <c r="N62">
        <v>6</v>
      </c>
      <c r="O62">
        <v>2.25</v>
      </c>
      <c r="P62">
        <v>0.9</v>
      </c>
    </row>
    <row r="63" spans="1:16" x14ac:dyDescent="0.4">
      <c r="A63" t="s">
        <v>254</v>
      </c>
      <c r="B63" t="s">
        <v>255</v>
      </c>
      <c r="C63" t="s">
        <v>256</v>
      </c>
      <c r="D63" t="s">
        <v>257</v>
      </c>
      <c r="E63" t="s">
        <v>258</v>
      </c>
      <c r="F63" t="s">
        <v>259</v>
      </c>
      <c r="G63" t="s">
        <v>260</v>
      </c>
      <c r="H63" t="s">
        <v>261</v>
      </c>
      <c r="I63" t="s">
        <v>262</v>
      </c>
      <c r="K63">
        <v>2</v>
      </c>
      <c r="L63">
        <v>148</v>
      </c>
      <c r="M63">
        <v>3.105</v>
      </c>
      <c r="N63">
        <v>51</v>
      </c>
      <c r="O63">
        <v>0</v>
      </c>
      <c r="P63">
        <v>29.9</v>
      </c>
    </row>
    <row r="64" spans="1:16" x14ac:dyDescent="0.4">
      <c r="A64" t="s">
        <v>263</v>
      </c>
      <c r="B64" t="s">
        <v>72</v>
      </c>
      <c r="C64" t="s">
        <v>72</v>
      </c>
      <c r="D64" t="s">
        <v>264</v>
      </c>
      <c r="E64" t="s">
        <v>265</v>
      </c>
      <c r="F64" t="s">
        <v>266</v>
      </c>
      <c r="G64" t="s">
        <v>267</v>
      </c>
      <c r="H64" t="s">
        <v>32</v>
      </c>
      <c r="I64" t="s">
        <v>268</v>
      </c>
      <c r="K64">
        <v>2</v>
      </c>
      <c r="L64">
        <v>13.75</v>
      </c>
      <c r="M64">
        <v>0.95</v>
      </c>
      <c r="N64">
        <v>50</v>
      </c>
      <c r="O64">
        <v>0.1</v>
      </c>
      <c r="P64">
        <v>1.25</v>
      </c>
    </row>
    <row r="65" spans="1:16" x14ac:dyDescent="0.4">
      <c r="A65" t="s">
        <v>269</v>
      </c>
      <c r="B65" t="s">
        <v>270</v>
      </c>
      <c r="C65" t="s">
        <v>85</v>
      </c>
      <c r="D65" t="s">
        <v>271</v>
      </c>
      <c r="E65" t="s">
        <v>97</v>
      </c>
      <c r="F65" t="s">
        <v>272</v>
      </c>
      <c r="G65" t="s">
        <v>273</v>
      </c>
      <c r="H65" t="s">
        <v>66</v>
      </c>
      <c r="I65" t="s">
        <v>274</v>
      </c>
      <c r="K65">
        <v>2</v>
      </c>
      <c r="L65">
        <v>93</v>
      </c>
      <c r="M65">
        <v>3.5</v>
      </c>
      <c r="N65">
        <v>247.5</v>
      </c>
      <c r="O65">
        <v>12.5</v>
      </c>
      <c r="P65">
        <v>2</v>
      </c>
    </row>
    <row r="66" spans="1:16" x14ac:dyDescent="0.4">
      <c r="A66" t="s">
        <v>275</v>
      </c>
      <c r="B66" t="s">
        <v>42</v>
      </c>
      <c r="C66" t="s">
        <v>215</v>
      </c>
      <c r="D66" t="s">
        <v>276</v>
      </c>
      <c r="E66" t="s">
        <v>277</v>
      </c>
      <c r="F66" t="s">
        <v>278</v>
      </c>
      <c r="G66" t="s">
        <v>66</v>
      </c>
      <c r="H66" t="s">
        <v>60</v>
      </c>
      <c r="I66" t="s">
        <v>279</v>
      </c>
      <c r="K66">
        <v>2</v>
      </c>
      <c r="L66">
        <v>160</v>
      </c>
      <c r="M66">
        <v>17</v>
      </c>
      <c r="N66">
        <v>350</v>
      </c>
      <c r="O66">
        <v>2</v>
      </c>
      <c r="P66">
        <v>1</v>
      </c>
    </row>
    <row r="67" spans="1:16" x14ac:dyDescent="0.4">
      <c r="A67" t="s">
        <v>68</v>
      </c>
      <c r="K67">
        <v>2</v>
      </c>
      <c r="L67">
        <f>SUM(L62:L66)</f>
        <v>426.75</v>
      </c>
      <c r="M67">
        <f t="shared" ref="M67:P67" si="5">SUM(M62:M66)</f>
        <v>24.704999999999998</v>
      </c>
      <c r="N67">
        <f t="shared" si="5"/>
        <v>704.5</v>
      </c>
      <c r="O67">
        <f t="shared" si="5"/>
        <v>16.850000000000001</v>
      </c>
      <c r="P67">
        <f t="shared" si="5"/>
        <v>35.049999999999997</v>
      </c>
    </row>
    <row r="68" spans="1:16" x14ac:dyDescent="0.4">
      <c r="A68" t="s">
        <v>280</v>
      </c>
      <c r="K68">
        <v>1</v>
      </c>
    </row>
    <row r="69" spans="1:16" x14ac:dyDescent="0.4">
      <c r="K69">
        <v>1</v>
      </c>
    </row>
    <row r="70" spans="1:16" x14ac:dyDescent="0.4">
      <c r="A70" t="s">
        <v>281</v>
      </c>
      <c r="K70">
        <v>4</v>
      </c>
    </row>
    <row r="71" spans="1:16" x14ac:dyDescent="0.4">
      <c r="A71" t="s">
        <v>282</v>
      </c>
      <c r="B71">
        <v>3</v>
      </c>
      <c r="C71" t="s">
        <v>158</v>
      </c>
      <c r="D71" t="s">
        <v>171</v>
      </c>
      <c r="E71" t="s">
        <v>283</v>
      </c>
      <c r="F71" t="s">
        <v>250</v>
      </c>
      <c r="G71" t="s">
        <v>284</v>
      </c>
      <c r="H71" t="s">
        <v>202</v>
      </c>
      <c r="K71">
        <v>4</v>
      </c>
      <c r="L71">
        <v>22.5</v>
      </c>
      <c r="M71">
        <v>0.22500000000000001</v>
      </c>
      <c r="N71">
        <v>3</v>
      </c>
      <c r="O71">
        <v>5.25</v>
      </c>
      <c r="P71">
        <v>0.75</v>
      </c>
    </row>
    <row r="72" spans="1:16" x14ac:dyDescent="0.4">
      <c r="A72" t="s">
        <v>285</v>
      </c>
      <c r="B72">
        <v>1</v>
      </c>
      <c r="C72" t="s">
        <v>158</v>
      </c>
      <c r="D72" t="s">
        <v>159</v>
      </c>
      <c r="E72" t="s">
        <v>101</v>
      </c>
      <c r="F72" t="s">
        <v>160</v>
      </c>
      <c r="G72" t="s">
        <v>161</v>
      </c>
      <c r="H72" t="s">
        <v>75</v>
      </c>
      <c r="K72">
        <v>4</v>
      </c>
      <c r="L72">
        <v>11.25</v>
      </c>
      <c r="M72">
        <v>2.5000000000000001E-2</v>
      </c>
      <c r="N72">
        <v>1.25</v>
      </c>
      <c r="O72">
        <v>2.75</v>
      </c>
      <c r="P72">
        <v>0.3</v>
      </c>
    </row>
    <row r="73" spans="1:16" x14ac:dyDescent="0.4">
      <c r="A73" t="s">
        <v>286</v>
      </c>
      <c r="B73">
        <v>1</v>
      </c>
      <c r="C73" t="s">
        <v>130</v>
      </c>
      <c r="D73" t="s">
        <v>287</v>
      </c>
      <c r="E73" t="s">
        <v>47</v>
      </c>
      <c r="F73" t="s">
        <v>288</v>
      </c>
      <c r="G73" t="s">
        <v>212</v>
      </c>
      <c r="H73" t="s">
        <v>97</v>
      </c>
      <c r="K73">
        <v>4</v>
      </c>
      <c r="L73">
        <v>35</v>
      </c>
      <c r="M73">
        <v>0</v>
      </c>
      <c r="N73">
        <v>250</v>
      </c>
      <c r="O73">
        <v>8</v>
      </c>
      <c r="P73">
        <v>1.75</v>
      </c>
    </row>
    <row r="74" spans="1:16" x14ac:dyDescent="0.4">
      <c r="A74" t="s">
        <v>289</v>
      </c>
      <c r="B74" t="s">
        <v>290</v>
      </c>
      <c r="C74" t="s">
        <v>43</v>
      </c>
      <c r="D74" t="s">
        <v>145</v>
      </c>
      <c r="E74" t="s">
        <v>146</v>
      </c>
      <c r="F74" t="s">
        <v>46</v>
      </c>
      <c r="G74" t="s">
        <v>47</v>
      </c>
      <c r="H74" t="s">
        <v>47</v>
      </c>
      <c r="K74">
        <v>4</v>
      </c>
      <c r="L74">
        <v>29.75</v>
      </c>
      <c r="M74">
        <v>3.5</v>
      </c>
      <c r="N74">
        <v>0</v>
      </c>
      <c r="O74">
        <v>0</v>
      </c>
      <c r="P74">
        <v>0</v>
      </c>
    </row>
    <row r="75" spans="1:16" x14ac:dyDescent="0.4">
      <c r="A75" t="s">
        <v>149</v>
      </c>
      <c r="B75" t="s">
        <v>151</v>
      </c>
      <c r="C75" t="s">
        <v>151</v>
      </c>
      <c r="D75" t="s">
        <v>152</v>
      </c>
      <c r="E75" t="s">
        <v>153</v>
      </c>
      <c r="F75" t="s">
        <v>154</v>
      </c>
      <c r="G75" t="s">
        <v>47</v>
      </c>
      <c r="H75" t="s">
        <v>155</v>
      </c>
      <c r="K75">
        <v>4</v>
      </c>
      <c r="L75">
        <v>288</v>
      </c>
      <c r="M75">
        <v>22.75</v>
      </c>
      <c r="N75">
        <v>75</v>
      </c>
      <c r="O75">
        <v>0</v>
      </c>
      <c r="P75">
        <v>19.5</v>
      </c>
    </row>
    <row r="76" spans="1:16" x14ac:dyDescent="0.4">
      <c r="A76" t="s">
        <v>291</v>
      </c>
      <c r="B76" t="s">
        <v>209</v>
      </c>
      <c r="C76" t="s">
        <v>85</v>
      </c>
      <c r="D76" t="s">
        <v>57</v>
      </c>
      <c r="E76" t="s">
        <v>47</v>
      </c>
      <c r="F76" t="s">
        <v>292</v>
      </c>
      <c r="G76" t="s">
        <v>60</v>
      </c>
      <c r="H76" t="s">
        <v>66</v>
      </c>
      <c r="K76">
        <v>4</v>
      </c>
      <c r="L76">
        <v>7.5</v>
      </c>
      <c r="M76">
        <v>0</v>
      </c>
      <c r="N76">
        <v>450</v>
      </c>
      <c r="O76">
        <v>0.5</v>
      </c>
      <c r="P76">
        <v>1</v>
      </c>
    </row>
    <row r="77" spans="1:16" x14ac:dyDescent="0.4">
      <c r="A77" t="s">
        <v>293</v>
      </c>
      <c r="B77" t="s">
        <v>85</v>
      </c>
      <c r="C77" t="s">
        <v>294</v>
      </c>
      <c r="D77" t="s">
        <v>295</v>
      </c>
      <c r="E77" t="s">
        <v>204</v>
      </c>
      <c r="F77" t="s">
        <v>46</v>
      </c>
      <c r="G77" t="s">
        <v>296</v>
      </c>
      <c r="H77" t="s">
        <v>297</v>
      </c>
      <c r="K77">
        <v>4</v>
      </c>
      <c r="L77">
        <v>170</v>
      </c>
      <c r="M77">
        <v>0.25</v>
      </c>
      <c r="N77">
        <v>0</v>
      </c>
      <c r="O77">
        <v>37.5</v>
      </c>
      <c r="P77">
        <v>3.25</v>
      </c>
    </row>
    <row r="78" spans="1:16" x14ac:dyDescent="0.4">
      <c r="A78" t="s">
        <v>298</v>
      </c>
      <c r="B78" t="s">
        <v>103</v>
      </c>
      <c r="C78" t="s">
        <v>103</v>
      </c>
      <c r="D78" t="s">
        <v>299</v>
      </c>
      <c r="E78" t="s">
        <v>249</v>
      </c>
      <c r="F78" t="s">
        <v>300</v>
      </c>
      <c r="G78" t="s">
        <v>75</v>
      </c>
      <c r="H78" t="s">
        <v>249</v>
      </c>
      <c r="K78">
        <v>4</v>
      </c>
      <c r="L78">
        <v>1.5</v>
      </c>
      <c r="M78">
        <v>7.4999999999999997E-2</v>
      </c>
      <c r="N78">
        <v>0.25</v>
      </c>
      <c r="O78">
        <v>0.3</v>
      </c>
      <c r="P78">
        <v>7.4999999999999997E-2</v>
      </c>
    </row>
    <row r="79" spans="1:16" x14ac:dyDescent="0.4">
      <c r="A79" t="s">
        <v>226</v>
      </c>
      <c r="B79" t="s">
        <v>103</v>
      </c>
      <c r="C79" t="s">
        <v>103</v>
      </c>
      <c r="D79" t="s">
        <v>52</v>
      </c>
      <c r="E79" t="s">
        <v>47</v>
      </c>
      <c r="F79" t="s">
        <v>53</v>
      </c>
      <c r="G79" t="s">
        <v>47</v>
      </c>
      <c r="H79" t="s">
        <v>47</v>
      </c>
      <c r="K79">
        <v>4</v>
      </c>
      <c r="L79">
        <v>0</v>
      </c>
      <c r="M79">
        <v>0</v>
      </c>
      <c r="N79">
        <v>575</v>
      </c>
      <c r="O79">
        <v>0</v>
      </c>
      <c r="P79">
        <v>0</v>
      </c>
    </row>
    <row r="80" spans="1:16" x14ac:dyDescent="0.4">
      <c r="A80" t="s">
        <v>301</v>
      </c>
      <c r="B80" t="s">
        <v>290</v>
      </c>
      <c r="C80" t="s">
        <v>43</v>
      </c>
      <c r="D80" t="s">
        <v>302</v>
      </c>
      <c r="E80" t="s">
        <v>47</v>
      </c>
      <c r="F80" t="s">
        <v>300</v>
      </c>
      <c r="G80" t="s">
        <v>202</v>
      </c>
      <c r="H80" t="s">
        <v>204</v>
      </c>
      <c r="K80">
        <v>4</v>
      </c>
      <c r="L80">
        <v>3.75</v>
      </c>
      <c r="M80">
        <v>0</v>
      </c>
      <c r="N80">
        <v>0.25</v>
      </c>
      <c r="O80">
        <v>0.75</v>
      </c>
      <c r="P80">
        <v>0.25</v>
      </c>
    </row>
    <row r="81" spans="1:16" x14ac:dyDescent="0.4">
      <c r="A81" t="s">
        <v>303</v>
      </c>
      <c r="B81" t="s">
        <v>103</v>
      </c>
      <c r="C81" t="s">
        <v>103</v>
      </c>
      <c r="D81" t="s">
        <v>304</v>
      </c>
      <c r="E81" t="s">
        <v>47</v>
      </c>
      <c r="F81" t="s">
        <v>46</v>
      </c>
      <c r="G81" t="s">
        <v>204</v>
      </c>
      <c r="H81" t="s">
        <v>47</v>
      </c>
      <c r="K81">
        <v>4</v>
      </c>
      <c r="L81">
        <v>0.75</v>
      </c>
      <c r="M81">
        <v>0</v>
      </c>
      <c r="N81">
        <v>0</v>
      </c>
      <c r="O81">
        <v>0.25</v>
      </c>
      <c r="P81">
        <v>0</v>
      </c>
    </row>
    <row r="82" spans="1:16" x14ac:dyDescent="0.4">
      <c r="A82" t="s">
        <v>305</v>
      </c>
      <c r="B82" t="s">
        <v>103</v>
      </c>
      <c r="C82" t="s">
        <v>103</v>
      </c>
      <c r="D82" t="s">
        <v>299</v>
      </c>
      <c r="E82" t="s">
        <v>249</v>
      </c>
      <c r="F82" t="s">
        <v>46</v>
      </c>
      <c r="G82" t="s">
        <v>204</v>
      </c>
      <c r="H82" t="s">
        <v>249</v>
      </c>
      <c r="K82">
        <v>4</v>
      </c>
      <c r="L82">
        <v>1.5</v>
      </c>
      <c r="M82">
        <v>7.4999999999999997E-2</v>
      </c>
      <c r="N82">
        <v>0</v>
      </c>
      <c r="O82">
        <v>0.25</v>
      </c>
      <c r="P82">
        <v>7.4999999999999997E-2</v>
      </c>
    </row>
    <row r="83" spans="1:16" x14ac:dyDescent="0.4">
      <c r="A83" t="s">
        <v>68</v>
      </c>
      <c r="K83">
        <v>4</v>
      </c>
      <c r="L83">
        <f>SUM(L71:L82)</f>
        <v>571.5</v>
      </c>
      <c r="M83">
        <f t="shared" ref="M83:P83" si="6">SUM(M71:M82)</f>
        <v>26.9</v>
      </c>
      <c r="N83">
        <f t="shared" si="6"/>
        <v>1354.75</v>
      </c>
      <c r="O83">
        <f t="shared" si="6"/>
        <v>55.55</v>
      </c>
      <c r="P83">
        <f t="shared" si="6"/>
        <v>26.95</v>
      </c>
    </row>
    <row r="84" spans="1:16" x14ac:dyDescent="0.4">
      <c r="A84" t="s">
        <v>147</v>
      </c>
      <c r="K84">
        <v>4</v>
      </c>
    </row>
    <row r="85" spans="1:16" x14ac:dyDescent="0.4">
      <c r="K85">
        <v>4</v>
      </c>
    </row>
    <row r="86" spans="1:16" x14ac:dyDescent="0.4">
      <c r="A86" t="s">
        <v>306</v>
      </c>
      <c r="K86">
        <v>1</v>
      </c>
    </row>
    <row r="87" spans="1:16" x14ac:dyDescent="0.4">
      <c r="A87" t="s">
        <v>149</v>
      </c>
      <c r="B87" t="s">
        <v>151</v>
      </c>
      <c r="C87" t="s">
        <v>151</v>
      </c>
      <c r="D87" t="s">
        <v>152</v>
      </c>
      <c r="E87" t="s">
        <v>153</v>
      </c>
      <c r="F87" t="s">
        <v>154</v>
      </c>
      <c r="G87" t="s">
        <v>47</v>
      </c>
      <c r="H87" t="s">
        <v>155</v>
      </c>
      <c r="K87">
        <v>1</v>
      </c>
      <c r="L87">
        <v>1152</v>
      </c>
      <c r="M87">
        <v>91</v>
      </c>
      <c r="N87">
        <v>300</v>
      </c>
      <c r="O87">
        <v>0</v>
      </c>
      <c r="P87">
        <v>78</v>
      </c>
    </row>
    <row r="88" spans="1:16" x14ac:dyDescent="0.4">
      <c r="A88" t="s">
        <v>285</v>
      </c>
      <c r="B88">
        <v>0.5</v>
      </c>
      <c r="C88" t="s">
        <v>158</v>
      </c>
      <c r="D88" t="s">
        <v>307</v>
      </c>
      <c r="E88" t="s">
        <v>101</v>
      </c>
      <c r="F88" t="s">
        <v>308</v>
      </c>
      <c r="G88" t="s">
        <v>309</v>
      </c>
      <c r="H88" t="s">
        <v>22</v>
      </c>
      <c r="K88">
        <v>1</v>
      </c>
      <c r="L88">
        <v>22.5</v>
      </c>
      <c r="M88">
        <v>0.1</v>
      </c>
      <c r="N88">
        <v>2.5</v>
      </c>
      <c r="O88">
        <v>5.5</v>
      </c>
      <c r="P88">
        <v>0.6</v>
      </c>
    </row>
    <row r="89" spans="1:16" x14ac:dyDescent="0.4">
      <c r="A89" t="s">
        <v>310</v>
      </c>
      <c r="B89" t="s">
        <v>85</v>
      </c>
      <c r="C89" t="s">
        <v>85</v>
      </c>
      <c r="D89" t="s">
        <v>311</v>
      </c>
      <c r="E89" t="s">
        <v>24</v>
      </c>
      <c r="F89" t="s">
        <v>288</v>
      </c>
      <c r="G89" t="s">
        <v>196</v>
      </c>
      <c r="H89" t="s">
        <v>312</v>
      </c>
      <c r="K89">
        <v>1</v>
      </c>
      <c r="L89">
        <v>440</v>
      </c>
      <c r="M89">
        <v>5</v>
      </c>
      <c r="N89">
        <v>1000</v>
      </c>
      <c r="O89">
        <v>80</v>
      </c>
      <c r="P89">
        <v>15</v>
      </c>
    </row>
    <row r="90" spans="1:16" x14ac:dyDescent="0.4">
      <c r="A90" t="s">
        <v>313</v>
      </c>
      <c r="B90">
        <v>1</v>
      </c>
      <c r="C90" t="s">
        <v>109</v>
      </c>
      <c r="D90" t="s">
        <v>314</v>
      </c>
      <c r="E90" t="s">
        <v>24</v>
      </c>
      <c r="F90" t="s">
        <v>315</v>
      </c>
      <c r="G90" t="s">
        <v>80</v>
      </c>
      <c r="H90" t="s">
        <v>59</v>
      </c>
      <c r="K90">
        <v>1</v>
      </c>
      <c r="L90">
        <v>72</v>
      </c>
      <c r="M90">
        <v>5</v>
      </c>
      <c r="N90">
        <v>71</v>
      </c>
      <c r="O90">
        <v>0.4</v>
      </c>
      <c r="P90">
        <v>6</v>
      </c>
    </row>
    <row r="91" spans="1:16" x14ac:dyDescent="0.4">
      <c r="A91" t="s">
        <v>83</v>
      </c>
      <c r="B91" t="s">
        <v>72</v>
      </c>
      <c r="C91" t="s">
        <v>85</v>
      </c>
      <c r="D91" t="s">
        <v>316</v>
      </c>
      <c r="E91" t="s">
        <v>75</v>
      </c>
      <c r="F91" t="s">
        <v>317</v>
      </c>
      <c r="G91" t="s">
        <v>202</v>
      </c>
      <c r="H91" t="s">
        <v>60</v>
      </c>
      <c r="K91">
        <v>1</v>
      </c>
      <c r="L91">
        <v>30.5</v>
      </c>
      <c r="M91">
        <v>1.2</v>
      </c>
      <c r="N91">
        <v>28.8</v>
      </c>
      <c r="O91">
        <v>3</v>
      </c>
      <c r="P91">
        <v>2</v>
      </c>
    </row>
    <row r="92" spans="1:16" x14ac:dyDescent="0.4">
      <c r="A92" t="s">
        <v>226</v>
      </c>
      <c r="B92" t="s">
        <v>103</v>
      </c>
      <c r="C92" t="s">
        <v>103</v>
      </c>
      <c r="D92" t="s">
        <v>52</v>
      </c>
      <c r="E92" t="s">
        <v>47</v>
      </c>
      <c r="F92" t="s">
        <v>53</v>
      </c>
      <c r="G92" t="s">
        <v>47</v>
      </c>
      <c r="H92" t="s">
        <v>47</v>
      </c>
      <c r="K92">
        <v>1</v>
      </c>
      <c r="L92">
        <v>0</v>
      </c>
      <c r="M92">
        <v>0</v>
      </c>
      <c r="N92">
        <v>2300</v>
      </c>
      <c r="O92">
        <v>0</v>
      </c>
      <c r="P92">
        <v>0</v>
      </c>
    </row>
    <row r="93" spans="1:16" x14ac:dyDescent="0.4">
      <c r="A93" t="s">
        <v>289</v>
      </c>
      <c r="B93" t="s">
        <v>290</v>
      </c>
      <c r="C93" t="s">
        <v>43</v>
      </c>
      <c r="D93" t="s">
        <v>145</v>
      </c>
      <c r="E93" t="s">
        <v>146</v>
      </c>
      <c r="F93" t="s">
        <v>46</v>
      </c>
      <c r="G93" t="s">
        <v>47</v>
      </c>
      <c r="H93" t="s">
        <v>47</v>
      </c>
      <c r="K93">
        <v>1</v>
      </c>
      <c r="L93">
        <v>119</v>
      </c>
      <c r="M93">
        <v>14</v>
      </c>
      <c r="N93">
        <v>0</v>
      </c>
      <c r="O93">
        <v>0</v>
      </c>
      <c r="P93">
        <v>0</v>
      </c>
    </row>
    <row r="94" spans="1:16" x14ac:dyDescent="0.4">
      <c r="A94" t="s">
        <v>68</v>
      </c>
      <c r="K94">
        <v>1</v>
      </c>
      <c r="L94">
        <f>SUM(L87:L93)</f>
        <v>1836</v>
      </c>
      <c r="M94">
        <f t="shared" ref="M94:P94" si="7">SUM(M87:M93)</f>
        <v>116.3</v>
      </c>
      <c r="N94">
        <f t="shared" si="7"/>
        <v>3702.3</v>
      </c>
      <c r="O94">
        <f t="shared" si="7"/>
        <v>88.9</v>
      </c>
      <c r="P94">
        <f t="shared" si="7"/>
        <v>101.6</v>
      </c>
    </row>
    <row r="95" spans="1:16" x14ac:dyDescent="0.4">
      <c r="A95" t="s">
        <v>147</v>
      </c>
      <c r="K95">
        <v>1</v>
      </c>
    </row>
    <row r="96" spans="1:16" x14ac:dyDescent="0.4">
      <c r="K96">
        <v>1</v>
      </c>
    </row>
    <row r="97" spans="1:16" x14ac:dyDescent="0.4">
      <c r="A97" t="s">
        <v>318</v>
      </c>
      <c r="K97">
        <v>4</v>
      </c>
    </row>
    <row r="98" spans="1:16" x14ac:dyDescent="0.4">
      <c r="A98" t="s">
        <v>149</v>
      </c>
      <c r="B98" t="s">
        <v>319</v>
      </c>
      <c r="C98" t="s">
        <v>151</v>
      </c>
      <c r="D98" t="s">
        <v>320</v>
      </c>
      <c r="E98" t="s">
        <v>321</v>
      </c>
      <c r="F98" t="s">
        <v>322</v>
      </c>
      <c r="G98" t="s">
        <v>47</v>
      </c>
      <c r="H98" t="s">
        <v>323</v>
      </c>
      <c r="K98">
        <v>4</v>
      </c>
      <c r="L98">
        <v>144</v>
      </c>
      <c r="M98">
        <v>11.375</v>
      </c>
      <c r="N98">
        <v>37.5</v>
      </c>
      <c r="O98">
        <v>0</v>
      </c>
      <c r="P98">
        <v>9.75</v>
      </c>
    </row>
    <row r="99" spans="1:16" x14ac:dyDescent="0.4">
      <c r="A99" t="s">
        <v>324</v>
      </c>
      <c r="B99" t="s">
        <v>85</v>
      </c>
      <c r="C99" t="s">
        <v>294</v>
      </c>
      <c r="D99" t="s">
        <v>295</v>
      </c>
      <c r="E99" t="s">
        <v>204</v>
      </c>
      <c r="F99" t="s">
        <v>46</v>
      </c>
      <c r="G99" t="s">
        <v>296</v>
      </c>
      <c r="H99" t="s">
        <v>297</v>
      </c>
      <c r="K99">
        <v>4</v>
      </c>
      <c r="L99">
        <v>170</v>
      </c>
      <c r="M99">
        <v>0.25</v>
      </c>
      <c r="N99">
        <v>0</v>
      </c>
      <c r="O99">
        <v>37.5</v>
      </c>
      <c r="P99">
        <v>3.25</v>
      </c>
    </row>
    <row r="100" spans="1:16" x14ac:dyDescent="0.4">
      <c r="A100" t="s">
        <v>325</v>
      </c>
      <c r="B100">
        <v>2</v>
      </c>
      <c r="C100" t="s">
        <v>109</v>
      </c>
      <c r="D100" t="s">
        <v>241</v>
      </c>
      <c r="E100" t="s">
        <v>326</v>
      </c>
      <c r="F100" t="s">
        <v>327</v>
      </c>
      <c r="G100" t="s">
        <v>328</v>
      </c>
      <c r="H100" t="s">
        <v>59</v>
      </c>
      <c r="K100">
        <v>4</v>
      </c>
      <c r="L100">
        <v>120</v>
      </c>
      <c r="M100">
        <v>11</v>
      </c>
      <c r="N100">
        <v>5.5</v>
      </c>
      <c r="O100">
        <v>6.5</v>
      </c>
      <c r="P100">
        <v>1.5</v>
      </c>
    </row>
    <row r="101" spans="1:16" x14ac:dyDescent="0.4">
      <c r="A101" t="s">
        <v>329</v>
      </c>
      <c r="B101" t="s">
        <v>85</v>
      </c>
      <c r="C101" t="s">
        <v>85</v>
      </c>
      <c r="D101" t="s">
        <v>189</v>
      </c>
      <c r="E101" t="s">
        <v>190</v>
      </c>
      <c r="F101" t="s">
        <v>278</v>
      </c>
      <c r="G101" t="s">
        <v>60</v>
      </c>
      <c r="H101" t="s">
        <v>45</v>
      </c>
      <c r="K101">
        <v>4</v>
      </c>
      <c r="L101">
        <v>113.75</v>
      </c>
      <c r="M101">
        <v>9.25</v>
      </c>
      <c r="N101">
        <v>175</v>
      </c>
      <c r="O101">
        <v>0.5</v>
      </c>
      <c r="P101">
        <v>7</v>
      </c>
    </row>
    <row r="102" spans="1:16" x14ac:dyDescent="0.4">
      <c r="A102" t="s">
        <v>313</v>
      </c>
      <c r="B102">
        <v>2</v>
      </c>
      <c r="C102" t="s">
        <v>109</v>
      </c>
      <c r="D102" t="s">
        <v>234</v>
      </c>
      <c r="E102" t="s">
        <v>235</v>
      </c>
      <c r="F102" t="s">
        <v>236</v>
      </c>
      <c r="G102" t="s">
        <v>237</v>
      </c>
      <c r="H102" t="s">
        <v>94</v>
      </c>
      <c r="K102">
        <v>4</v>
      </c>
      <c r="L102">
        <v>36</v>
      </c>
      <c r="M102">
        <v>2.5</v>
      </c>
      <c r="N102">
        <v>35.5</v>
      </c>
      <c r="O102">
        <v>0.2</v>
      </c>
      <c r="P102">
        <v>3</v>
      </c>
    </row>
    <row r="103" spans="1:16" x14ac:dyDescent="0.4">
      <c r="A103" t="s">
        <v>330</v>
      </c>
      <c r="B103">
        <v>4</v>
      </c>
      <c r="C103" t="s">
        <v>109</v>
      </c>
      <c r="D103" t="s">
        <v>331</v>
      </c>
      <c r="E103" t="s">
        <v>96</v>
      </c>
      <c r="F103" t="s">
        <v>332</v>
      </c>
      <c r="G103" t="s">
        <v>333</v>
      </c>
      <c r="H103" t="s">
        <v>96</v>
      </c>
      <c r="K103">
        <v>4</v>
      </c>
      <c r="L103">
        <v>150</v>
      </c>
      <c r="M103">
        <v>4</v>
      </c>
      <c r="N103">
        <v>300</v>
      </c>
      <c r="O103">
        <v>24</v>
      </c>
      <c r="P103">
        <v>4</v>
      </c>
    </row>
    <row r="104" spans="1:16" x14ac:dyDescent="0.4">
      <c r="A104" t="s">
        <v>289</v>
      </c>
      <c r="B104" t="s">
        <v>42</v>
      </c>
      <c r="C104" t="s">
        <v>43</v>
      </c>
      <c r="D104" t="s">
        <v>44</v>
      </c>
      <c r="E104" t="s">
        <v>45</v>
      </c>
      <c r="F104" t="s">
        <v>46</v>
      </c>
      <c r="G104" t="s">
        <v>47</v>
      </c>
      <c r="H104" t="s">
        <v>47</v>
      </c>
      <c r="K104">
        <v>4</v>
      </c>
      <c r="L104">
        <v>59.5</v>
      </c>
      <c r="M104">
        <v>7</v>
      </c>
      <c r="N104">
        <v>0</v>
      </c>
      <c r="O104">
        <v>0</v>
      </c>
      <c r="P104">
        <v>0</v>
      </c>
    </row>
    <row r="105" spans="1:16" x14ac:dyDescent="0.4">
      <c r="A105" t="s">
        <v>68</v>
      </c>
      <c r="K105">
        <v>4</v>
      </c>
      <c r="L105">
        <f>SUM(L98:L104)</f>
        <v>793.25</v>
      </c>
      <c r="M105">
        <f t="shared" ref="M105:P105" si="8">SUM(M98:M104)</f>
        <v>45.375</v>
      </c>
      <c r="N105">
        <f t="shared" si="8"/>
        <v>553.5</v>
      </c>
      <c r="O105">
        <f t="shared" si="8"/>
        <v>68.7</v>
      </c>
      <c r="P105">
        <f t="shared" si="8"/>
        <v>28.5</v>
      </c>
    </row>
    <row r="106" spans="1:16" x14ac:dyDescent="0.4">
      <c r="A106" t="s">
        <v>147</v>
      </c>
      <c r="K106">
        <v>4</v>
      </c>
    </row>
    <row r="107" spans="1:16" x14ac:dyDescent="0.4">
      <c r="K107">
        <v>4</v>
      </c>
    </row>
    <row r="108" spans="1:16" x14ac:dyDescent="0.4">
      <c r="A108" t="s">
        <v>334</v>
      </c>
      <c r="K108">
        <v>1</v>
      </c>
    </row>
    <row r="109" spans="1:16" x14ac:dyDescent="0.4">
      <c r="A109" t="s">
        <v>335</v>
      </c>
      <c r="B109" t="s">
        <v>336</v>
      </c>
      <c r="C109" t="s">
        <v>337</v>
      </c>
      <c r="D109" t="s">
        <v>93</v>
      </c>
      <c r="E109" t="s">
        <v>60</v>
      </c>
      <c r="F109" t="s">
        <v>338</v>
      </c>
      <c r="G109" t="s">
        <v>111</v>
      </c>
      <c r="H109" t="s">
        <v>185</v>
      </c>
      <c r="K109">
        <v>1</v>
      </c>
      <c r="L109">
        <v>200</v>
      </c>
      <c r="M109">
        <v>2</v>
      </c>
      <c r="N109">
        <v>400</v>
      </c>
      <c r="O109">
        <v>40</v>
      </c>
      <c r="P109">
        <v>8</v>
      </c>
    </row>
    <row r="110" spans="1:16" x14ac:dyDescent="0.4">
      <c r="A110" t="s">
        <v>339</v>
      </c>
      <c r="B110" t="s">
        <v>337</v>
      </c>
      <c r="C110" t="s">
        <v>337</v>
      </c>
      <c r="D110" t="s">
        <v>340</v>
      </c>
      <c r="E110" t="s">
        <v>59</v>
      </c>
      <c r="F110" t="s">
        <v>341</v>
      </c>
      <c r="G110" t="s">
        <v>204</v>
      </c>
      <c r="H110" t="s">
        <v>59</v>
      </c>
      <c r="K110">
        <v>1</v>
      </c>
      <c r="L110">
        <v>80</v>
      </c>
      <c r="M110">
        <v>6</v>
      </c>
      <c r="N110">
        <v>200</v>
      </c>
      <c r="O110">
        <v>1</v>
      </c>
      <c r="P110">
        <v>6</v>
      </c>
    </row>
    <row r="111" spans="1:16" x14ac:dyDescent="0.4">
      <c r="A111" t="s">
        <v>342</v>
      </c>
      <c r="B111" t="s">
        <v>103</v>
      </c>
      <c r="C111" t="s">
        <v>103</v>
      </c>
      <c r="D111" t="s">
        <v>343</v>
      </c>
      <c r="E111" t="s">
        <v>344</v>
      </c>
      <c r="F111" t="s">
        <v>345</v>
      </c>
      <c r="G111" t="s">
        <v>101</v>
      </c>
      <c r="H111" t="s">
        <v>47</v>
      </c>
      <c r="K111">
        <v>1</v>
      </c>
      <c r="L111">
        <v>33</v>
      </c>
      <c r="M111">
        <v>3.5</v>
      </c>
      <c r="N111">
        <v>30</v>
      </c>
      <c r="O111">
        <v>0.1</v>
      </c>
      <c r="P111">
        <v>0</v>
      </c>
    </row>
    <row r="112" spans="1:16" x14ac:dyDescent="0.4">
      <c r="A112" t="s">
        <v>346</v>
      </c>
      <c r="B112" t="s">
        <v>51</v>
      </c>
      <c r="C112" t="s">
        <v>51</v>
      </c>
      <c r="D112" t="s">
        <v>347</v>
      </c>
      <c r="E112" t="s">
        <v>47</v>
      </c>
      <c r="F112" t="s">
        <v>348</v>
      </c>
      <c r="G112" t="s">
        <v>47</v>
      </c>
      <c r="H112" t="s">
        <v>47</v>
      </c>
      <c r="K112">
        <v>1</v>
      </c>
      <c r="L112">
        <v>5</v>
      </c>
      <c r="M112">
        <v>0</v>
      </c>
      <c r="N112">
        <v>120</v>
      </c>
      <c r="O112">
        <v>0</v>
      </c>
      <c r="P112">
        <v>0</v>
      </c>
    </row>
    <row r="113" spans="1:16" x14ac:dyDescent="0.4">
      <c r="A113" t="s">
        <v>325</v>
      </c>
      <c r="B113" t="s">
        <v>349</v>
      </c>
      <c r="C113" t="s">
        <v>109</v>
      </c>
      <c r="D113" t="s">
        <v>125</v>
      </c>
      <c r="E113" t="s">
        <v>167</v>
      </c>
      <c r="F113" t="s">
        <v>350</v>
      </c>
      <c r="G113" t="s">
        <v>297</v>
      </c>
      <c r="H113" t="s">
        <v>202</v>
      </c>
      <c r="K113">
        <v>1</v>
      </c>
      <c r="L113">
        <v>240</v>
      </c>
      <c r="M113">
        <v>22</v>
      </c>
      <c r="N113">
        <v>11</v>
      </c>
      <c r="O113">
        <v>13</v>
      </c>
      <c r="P113">
        <v>3</v>
      </c>
    </row>
    <row r="114" spans="1:16" x14ac:dyDescent="0.4">
      <c r="A114" t="s">
        <v>351</v>
      </c>
      <c r="B114" t="s">
        <v>352</v>
      </c>
      <c r="C114" t="s">
        <v>353</v>
      </c>
      <c r="D114" t="s">
        <v>354</v>
      </c>
      <c r="E114" t="s">
        <v>47</v>
      </c>
      <c r="F114" t="s">
        <v>58</v>
      </c>
      <c r="G114" t="s">
        <v>204</v>
      </c>
      <c r="H114" t="s">
        <v>80</v>
      </c>
      <c r="K114">
        <v>1</v>
      </c>
      <c r="L114">
        <v>4</v>
      </c>
      <c r="M114">
        <v>0</v>
      </c>
      <c r="N114">
        <v>2</v>
      </c>
      <c r="O114">
        <v>1</v>
      </c>
      <c r="P114">
        <v>0.4</v>
      </c>
    </row>
    <row r="115" spans="1:16" x14ac:dyDescent="0.4">
      <c r="A115" t="s">
        <v>355</v>
      </c>
      <c r="B115" t="s">
        <v>336</v>
      </c>
      <c r="C115" t="s">
        <v>337</v>
      </c>
      <c r="D115" t="s">
        <v>356</v>
      </c>
      <c r="E115" t="s">
        <v>47</v>
      </c>
      <c r="F115" t="s">
        <v>58</v>
      </c>
      <c r="G115" t="s">
        <v>60</v>
      </c>
      <c r="H115" t="s">
        <v>80</v>
      </c>
      <c r="K115">
        <v>1</v>
      </c>
      <c r="L115">
        <v>8</v>
      </c>
      <c r="M115">
        <v>0</v>
      </c>
      <c r="N115">
        <v>2</v>
      </c>
      <c r="O115">
        <v>2</v>
      </c>
      <c r="P115">
        <v>0.4</v>
      </c>
    </row>
    <row r="116" spans="1:16" x14ac:dyDescent="0.4">
      <c r="A116" t="s">
        <v>357</v>
      </c>
      <c r="B116" t="s">
        <v>349</v>
      </c>
      <c r="C116" t="s">
        <v>358</v>
      </c>
      <c r="D116" t="s">
        <v>359</v>
      </c>
      <c r="E116" t="s">
        <v>267</v>
      </c>
      <c r="F116" t="s">
        <v>360</v>
      </c>
      <c r="G116" t="s">
        <v>24</v>
      </c>
      <c r="H116" t="s">
        <v>204</v>
      </c>
      <c r="K116">
        <v>1</v>
      </c>
      <c r="L116">
        <v>23</v>
      </c>
      <c r="M116">
        <v>0.2</v>
      </c>
      <c r="N116">
        <v>3</v>
      </c>
      <c r="O116">
        <v>5</v>
      </c>
      <c r="P116">
        <v>1</v>
      </c>
    </row>
    <row r="117" spans="1:16" x14ac:dyDescent="0.4">
      <c r="A117" t="s">
        <v>361</v>
      </c>
      <c r="B117" t="s">
        <v>362</v>
      </c>
      <c r="C117" t="s">
        <v>363</v>
      </c>
      <c r="D117" t="s">
        <v>364</v>
      </c>
      <c r="E117" t="s">
        <v>47</v>
      </c>
      <c r="F117" t="s">
        <v>300</v>
      </c>
      <c r="G117" t="s">
        <v>202</v>
      </c>
      <c r="H117" t="s">
        <v>249</v>
      </c>
      <c r="K117">
        <v>1</v>
      </c>
      <c r="L117">
        <v>11</v>
      </c>
      <c r="M117">
        <v>0</v>
      </c>
      <c r="N117">
        <v>1</v>
      </c>
      <c r="O117">
        <v>3</v>
      </c>
      <c r="P117">
        <v>0.3</v>
      </c>
    </row>
    <row r="118" spans="1:16" x14ac:dyDescent="0.4">
      <c r="A118" t="s">
        <v>365</v>
      </c>
      <c r="B118" t="s">
        <v>72</v>
      </c>
      <c r="K118">
        <v>1</v>
      </c>
    </row>
    <row r="119" spans="1:16" x14ac:dyDescent="0.4">
      <c r="A119" t="s">
        <v>366</v>
      </c>
      <c r="B119" t="s">
        <v>367</v>
      </c>
      <c r="C119" t="s">
        <v>103</v>
      </c>
      <c r="D119" t="s">
        <v>52</v>
      </c>
      <c r="E119" t="s">
        <v>47</v>
      </c>
      <c r="F119" t="s">
        <v>53</v>
      </c>
      <c r="G119" t="s">
        <v>47</v>
      </c>
      <c r="H119" t="s">
        <v>47</v>
      </c>
      <c r="K119">
        <v>1</v>
      </c>
      <c r="L119">
        <v>0</v>
      </c>
      <c r="M119">
        <v>0</v>
      </c>
      <c r="N119">
        <v>2300</v>
      </c>
      <c r="O119">
        <v>0</v>
      </c>
      <c r="P119">
        <v>0</v>
      </c>
    </row>
    <row r="120" spans="1:16" x14ac:dyDescent="0.4">
      <c r="A120" t="s">
        <v>68</v>
      </c>
      <c r="K120">
        <v>1</v>
      </c>
      <c r="L120">
        <f>SUM(L109:L119)</f>
        <v>604</v>
      </c>
      <c r="M120">
        <f t="shared" ref="M120:P120" si="9">SUM(M109:M119)</f>
        <v>33.700000000000003</v>
      </c>
      <c r="N120">
        <f t="shared" si="9"/>
        <v>3069</v>
      </c>
      <c r="O120">
        <f t="shared" si="9"/>
        <v>65.099999999999994</v>
      </c>
      <c r="P120">
        <f t="shared" si="9"/>
        <v>19.099999999999998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Shuble</cp:lastModifiedBy>
  <dcterms:created xsi:type="dcterms:W3CDTF">2026-04-09T16:51:53Z</dcterms:created>
  <dcterms:modified xsi:type="dcterms:W3CDTF">2026-04-22T00:39:33Z</dcterms:modified>
</cp:coreProperties>
</file>